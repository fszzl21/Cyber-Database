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365" yWindow="825" windowWidth="21600" windowHeight="14670" tabRatio="600" firstSheet="0" activeTab="0" autoFilterDateGrouping="1"/>
  </bookViews>
  <sheets>
    <sheet name="S2 leeruitkomsten" sheetId="1" state="visible" r:id="rId1"/>
    <sheet name="opmerkinge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242424"/>
      <sz val="11"/>
      <scheme val="minor"/>
    </font>
    <font>
      <name val="Tahoma"/>
      <family val="2"/>
      <color indexed="81"/>
      <sz val="9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242424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8"/>
      <scheme val="minor"/>
    </font>
    <font>
      <color rgb="000000FF"/>
      <u val="single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CD292"/>
        <bgColor indexed="64"/>
      </patternFill>
    </fill>
    <fill>
      <patternFill patternType="solid">
        <fgColor rgb="FF75B44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/>
    </xf>
    <xf numFmtId="0" fontId="0" fillId="0" borderId="2" pivotButton="0" quotePrefix="0" xfId="0"/>
    <xf numFmtId="0" fontId="5" fillId="0" borderId="4" pivotButton="0" quotePrefix="0" xfId="0"/>
    <xf numFmtId="0" fontId="5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 wrapText="1"/>
    </xf>
    <xf numFmtId="0" fontId="6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wrapText="1"/>
    </xf>
    <xf numFmtId="0" fontId="0" fillId="2" borderId="5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/>
    </xf>
    <xf numFmtId="0" fontId="1" fillId="0" borderId="2" applyAlignment="1" pivotButton="0" quotePrefix="0" xfId="0">
      <alignment horizontal="center"/>
    </xf>
    <xf numFmtId="0" fontId="1" fillId="0" borderId="0" pivotButton="0" quotePrefix="0" xfId="0"/>
    <xf numFmtId="0" fontId="8" fillId="0" borderId="0" pivotButton="0" quotePrefix="0" xfId="0"/>
    <xf numFmtId="0" fontId="1" fillId="7" borderId="0" pivotButton="0" quotePrefix="0" xfId="0"/>
    <xf numFmtId="0" fontId="0" fillId="7" borderId="0" pivotButton="0" quotePrefix="0" xfId="0"/>
    <xf numFmtId="0" fontId="8" fillId="7" borderId="0" applyAlignment="1" pivotButton="0" quotePrefix="0" xfId="0">
      <alignment horizontal="center"/>
    </xf>
    <xf numFmtId="0" fontId="8" fillId="7" borderId="11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7" borderId="11" applyAlignment="1" pivotButton="0" quotePrefix="0" xfId="0">
      <alignment horizontal="center"/>
    </xf>
    <xf numFmtId="0" fontId="0" fillId="7" borderId="0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7" borderId="13" pivotButton="0" quotePrefix="0" xfId="0"/>
    <xf numFmtId="0" fontId="0" fillId="7" borderId="3" pivotButton="0" quotePrefix="0" xfId="0"/>
    <xf numFmtId="0" fontId="0" fillId="7" borderId="3" applyAlignment="1" pivotButton="0" quotePrefix="0" xfId="0">
      <alignment horizontal="right"/>
    </xf>
    <xf numFmtId="0" fontId="1" fillId="0" borderId="14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wrapText="1"/>
    </xf>
    <xf numFmtId="0" fontId="6" fillId="0" borderId="16" applyAlignment="1" pivotButton="0" quotePrefix="0" xfId="0">
      <alignment horizontal="center" vertical="top" wrapText="1"/>
    </xf>
    <xf numFmtId="0" fontId="6" fillId="0" borderId="17" applyAlignment="1" pivotButton="0" quotePrefix="0" xfId="0">
      <alignment horizontal="center" vertical="top" wrapText="1"/>
    </xf>
    <xf numFmtId="9" fontId="0" fillId="0" borderId="11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9" fontId="0" fillId="0" borderId="12" applyAlignment="1" pivotButton="0" quotePrefix="0" xfId="0">
      <alignment horizontal="center"/>
    </xf>
    <xf numFmtId="9" fontId="0" fillId="0" borderId="11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9" fontId="0" fillId="0" borderId="12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2" fillId="0" borderId="1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6" borderId="1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12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" fillId="0" borderId="16" applyAlignment="1" pivotButton="0" quotePrefix="0" xfId="0">
      <alignment horizontal="center" wrapText="1"/>
    </xf>
    <xf numFmtId="0" fontId="1" fillId="0" borderId="17" applyAlignment="1" pivotButton="0" quotePrefix="0" xfId="0">
      <alignment horizont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pivotButton="0" quotePrefix="0" xfId="0"/>
    <xf numFmtId="0" fontId="4" fillId="0" borderId="18" pivotButton="0" quotePrefix="0" xfId="0"/>
    <xf numFmtId="0" fontId="5" fillId="0" borderId="19" pivotButton="0" quotePrefix="0" xfId="0"/>
    <xf numFmtId="0" fontId="1" fillId="0" borderId="13" pivotButton="0" quotePrefix="0" xfId="0"/>
    <xf numFmtId="0" fontId="1" fillId="0" borderId="21" pivotButton="0" quotePrefix="0" xfId="0"/>
    <xf numFmtId="0" fontId="0" fillId="6" borderId="11" pivotButton="0" quotePrefix="0" xfId="0"/>
    <xf numFmtId="0" fontId="0" fillId="6" borderId="0" pivotButton="0" quotePrefix="0" xfId="0"/>
    <xf numFmtId="0" fontId="0" fillId="6" borderId="12" pivotButton="0" quotePrefix="0" xfId="0"/>
    <xf numFmtId="0" fontId="8" fillId="0" borderId="13" pivotButton="0" quotePrefix="0" xfId="0"/>
    <xf numFmtId="0" fontId="8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/>
    </xf>
    <xf numFmtId="0" fontId="1" fillId="7" borderId="11" applyAlignment="1" pivotButton="0" quotePrefix="0" xfId="0">
      <alignment horizontal="left"/>
    </xf>
    <xf numFmtId="0" fontId="1" fillId="7" borderId="0" applyAlignment="1" pivotButton="0" quotePrefix="0" xfId="0">
      <alignment horizontal="left"/>
    </xf>
    <xf numFmtId="9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7" borderId="11" applyAlignment="1" pivotButton="0" quotePrefix="0" xfId="0">
      <alignment horizontal="center"/>
    </xf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12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0" fillId="0" borderId="11" pivotButton="0" quotePrefix="0" xfId="0"/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Marco van den Boogaard</author>
    <author>Rienk van der Ploeg</author>
  </authors>
  <commentList>
    <comment ref="A17" authorId="0" shapeId="0">
      <text>
        <t>Niet alle verplichte onderdelen uitgevoerd; optionele onderdelen zijn hier niet van belang</t>
      </text>
    </comment>
    <comment ref="A18" authorId="0" shapeId="0">
      <text>
        <t>Alle verplichte onderdelen uitgevoerd</t>
      </text>
    </comment>
    <comment ref="A20" authorId="0" shapeId="0">
      <text>
        <t>Op of over de helft tussen op en boven niveau</t>
      </text>
    </comment>
    <comment ref="C34" authorId="1" shapeId="0">
      <text>
        <t>Alles hieronder komt automatisch uit Canvas!
Mogelijke waarden: leeg, op, onder, boven, vrijgesteld, niet-nagekeken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nvas.hu.nl/courses/50272/assignments/396688/submissions/384557?preview=1&amp;version=1" TargetMode="External" Id="rId1" /><Relationship Type="http://schemas.openxmlformats.org/officeDocument/2006/relationships/hyperlink" Target="https://canvas.hu.nl/courses/50272/assignments/396690/submissions/384557?preview=1&amp;version=2" TargetMode="External" Id="rId2" /><Relationship Type="http://schemas.openxmlformats.org/officeDocument/2006/relationships/hyperlink" Target="https://canvas.hu.nl/courses/50272/assignments/396712/submissions/384557?preview=1&amp;version=1" TargetMode="External" Id="rId3" /><Relationship Type="http://schemas.openxmlformats.org/officeDocument/2006/relationships/hyperlink" Target="https://canvas.hu.nl/courses/50272/assignments/396691/submissions/384557?preview=1&amp;version=1" TargetMode="External" Id="rId4" /><Relationship Type="http://schemas.openxmlformats.org/officeDocument/2006/relationships/hyperlink" Target="https://canvas.hu.nl/courses/50272/assignments/396715/submissions/384557?preview=1&amp;version=1" TargetMode="External" Id="rId5" /><Relationship Type="http://schemas.openxmlformats.org/officeDocument/2006/relationships/hyperlink" Target="https://canvas.hu.nl/courses/50272/assignments/396716/submissions/384557?preview=1&amp;version=1" TargetMode="External" Id="rId6" /><Relationship Type="http://schemas.openxmlformats.org/officeDocument/2006/relationships/hyperlink" Target="https://canvas.hu.nl/courses/50272/assignments/396692/submissions/384557?preview=1&amp;version=1" TargetMode="External" Id="rId7" /><Relationship Type="http://schemas.openxmlformats.org/officeDocument/2006/relationships/hyperlink" Target="https://canvas.hu.nl/courses/50272/assignments/396693/submissions/384557?preview=1&amp;version=1" TargetMode="External" Id="rId8" /><Relationship Type="http://schemas.openxmlformats.org/officeDocument/2006/relationships/hyperlink" Target="https://canvas.hu.nl/courses/50272/assignments/396717/submissions/384557?preview=1&amp;version=1" TargetMode="External" Id="rId9" /><Relationship Type="http://schemas.openxmlformats.org/officeDocument/2006/relationships/hyperlink" Target="https://canvas.hu.nl/courses/50272/assignments/396694/submissions/384557?preview=1&amp;version=1" TargetMode="External" Id="rId10" /><Relationship Type="http://schemas.openxmlformats.org/officeDocument/2006/relationships/hyperlink" Target="https://canvas.hu.nl/courses/50272/assignments/396730/submissions/384557?preview=1&amp;version=1" TargetMode="External" Id="rId11" /><Relationship Type="http://schemas.openxmlformats.org/officeDocument/2006/relationships/hyperlink" Target="https://canvas.hu.nl/courses/50272/assignments/396695/submissions/384557?preview=1&amp;version=1" TargetMode="External" Id="rId12" /><Relationship Type="http://schemas.openxmlformats.org/officeDocument/2006/relationships/hyperlink" Target="https://canvas.hu.nl/courses/50272/assignments/396718/submissions/384557?preview=1&amp;version=1" TargetMode="External" Id="rId13" /><Relationship Type="http://schemas.openxmlformats.org/officeDocument/2006/relationships/hyperlink" Target="https://canvas.hu.nl/courses/50272/assignments/396720/submissions/384557?preview=1&amp;version=1" TargetMode="External" Id="rId14" /><Relationship Type="http://schemas.openxmlformats.org/officeDocument/2006/relationships/hyperlink" Target="https://canvas.hu.nl/courses/50272/assignments/396696/submissions/384557?preview=1&amp;version=1" TargetMode="External" Id="rId15" /><Relationship Type="http://schemas.openxmlformats.org/officeDocument/2006/relationships/hyperlink" Target="https://canvas.hu.nl/courses/50272/assignments/396721/submissions/384557?preview=1&amp;version=1" TargetMode="External" Id="rId16" /><Relationship Type="http://schemas.openxmlformats.org/officeDocument/2006/relationships/hyperlink" Target="https://canvas.hu.nl/courses/50272/assignments/396729/submissions/384557?preview=1&amp;version=1" TargetMode="External" Id="rId17" /><Relationship Type="http://schemas.openxmlformats.org/officeDocument/2006/relationships/hyperlink" Target="https://canvas.hu.nl/courses/50272/assignments/396702/submissions/384557?preview=1&amp;version=103" TargetMode="External" Id="rId18" /><Relationship Type="http://schemas.openxmlformats.org/officeDocument/2006/relationships/hyperlink" Target="https://canvas.hu.nl/courses/50272/assignments/396703/submissions/384557?preview=1&amp;version=1" TargetMode="External" Id="rId19" /><Relationship Type="http://schemas.openxmlformats.org/officeDocument/2006/relationships/hyperlink" Target="https://canvas.hu.nl/courses/50272/assignments/396753/submissions/384557?preview=1&amp;version=2" TargetMode="External" Id="rId20" /><Relationship Type="http://schemas.openxmlformats.org/officeDocument/2006/relationships/hyperlink" Target="https://canvas.hu.nl/courses/50272/assignments/396727/submissions/384557?preview=1&amp;version=1" TargetMode="External" Id="rId2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tabSelected="1" zoomScale="70" zoomScaleNormal="70" workbookViewId="0">
      <pane xSplit="6" ySplit="28" topLeftCell="G29" activePane="bottomRight" state="frozen"/>
      <selection pane="topRight" activeCell="G1" sqref="G1"/>
      <selection pane="bottomLeft" activeCell="A31" sqref="A31"/>
      <selection pane="bottomRight" activeCell="A32" sqref="A32"/>
    </sheetView>
  </sheetViews>
  <sheetFormatPr baseColWidth="8" defaultRowHeight="15" outlineLevelRow="2"/>
  <cols>
    <col width="52.42578125" bestFit="1" customWidth="1" style="84" min="1" max="1"/>
    <col width="13.140625" bestFit="1" customWidth="1" style="84" min="3" max="3"/>
    <col width="14.28515625" customWidth="1" style="84" min="7" max="16"/>
  </cols>
  <sheetData>
    <row r="1">
      <c r="A1" s="80" t="inlineStr">
        <is>
          <t>Gemaakt op:</t>
        </is>
      </c>
      <c r="B1" t="inlineStr">
        <is>
          <t>2026-03-27 18:51</t>
        </is>
      </c>
    </row>
    <row r="2">
      <c r="A2" s="80" t="inlineStr">
        <is>
          <t>Student:</t>
        </is>
      </c>
      <c r="B2" t="inlineStr">
        <is>
          <t>faisal.anwari@student.hu.nl</t>
        </is>
      </c>
    </row>
    <row r="3">
      <c r="A3" s="80" t="inlineStr">
        <is>
          <t>Studentnummer:</t>
        </is>
      </c>
      <c r="B3" t="inlineStr">
        <is>
          <t>1897627</t>
        </is>
      </c>
    </row>
    <row r="4" hidden="1" outlineLevel="1" customFormat="1" s="19">
      <c r="A4" s="86" t="n"/>
      <c r="B4" s="86" t="n"/>
      <c r="C4" s="88" t="inlineStr">
        <is>
          <t>Verplichte onderdelen</t>
        </is>
      </c>
      <c r="F4" s="49" t="n"/>
      <c r="G4" s="85" t="inlineStr">
        <is>
          <t>Toetsen</t>
        </is>
      </c>
      <c r="K4" s="81" t="inlineStr">
        <is>
          <t>Optionele onderdelen</t>
        </is>
      </c>
      <c r="M4" s="81" t="inlineStr">
        <is>
          <t>Alternatieve onderdelen</t>
        </is>
      </c>
      <c r="O4" s="86" t="n"/>
      <c r="P4" s="86" t="n"/>
    </row>
    <row r="5" hidden="1" outlineLevel="1" s="84">
      <c r="A5" s="22" t="n"/>
      <c r="B5" s="22" t="n"/>
      <c r="C5" s="23" t="inlineStr">
        <is>
          <t>startmarker</t>
        </is>
      </c>
      <c r="D5" s="23" t="inlineStr">
        <is>
          <t>peilmarker 1</t>
        </is>
      </c>
      <c r="E5" s="23" t="inlineStr">
        <is>
          <t>peilmarker 2</t>
        </is>
      </c>
      <c r="F5" s="23" t="inlineStr">
        <is>
          <t>endmarker</t>
        </is>
      </c>
      <c r="G5" s="24" t="inlineStr">
        <is>
          <t>startmarker</t>
        </is>
      </c>
      <c r="H5" s="23" t="inlineStr">
        <is>
          <t>peilmarker 1</t>
        </is>
      </c>
      <c r="I5" s="23" t="inlineStr">
        <is>
          <t>peilmarker 2</t>
        </is>
      </c>
      <c r="J5" s="23" t="inlineStr">
        <is>
          <t>endmarker</t>
        </is>
      </c>
      <c r="K5" s="24" t="inlineStr">
        <is>
          <t>startmarker</t>
        </is>
      </c>
      <c r="L5" s="23" t="inlineStr">
        <is>
          <t>endmarker</t>
        </is>
      </c>
      <c r="M5" s="24" t="inlineStr">
        <is>
          <t>startmarker</t>
        </is>
      </c>
      <c r="N5" s="23" t="inlineStr">
        <is>
          <t>endmarker</t>
        </is>
      </c>
      <c r="O5" s="22" t="n"/>
      <c r="P5" s="22" t="n"/>
    </row>
    <row r="6" hidden="1" outlineLevel="1" s="84">
      <c r="A6" s="22" t="n"/>
      <c r="B6" s="22" t="n"/>
      <c r="C6" s="25" t="inlineStr">
        <is>
          <t>Verplichte portfolio items</t>
        </is>
      </c>
      <c r="D6" s="25" t="inlineStr">
        <is>
          <t>Peilmoment 1 - verplicht</t>
        </is>
      </c>
      <c r="E6" s="25" t="inlineStr">
        <is>
          <t>Peilmoment 2 - verplicht</t>
        </is>
      </c>
      <c r="F6" s="25" t="inlineStr">
        <is>
          <t>Optionele portfolio items</t>
        </is>
      </c>
      <c r="G6" s="26" t="inlineStr">
        <is>
          <t>Toetsen</t>
        </is>
      </c>
      <c r="H6" s="25" t="inlineStr">
        <is>
          <t>Peilmoment 1 - toetsen</t>
        </is>
      </c>
      <c r="I6" s="25" t="inlineStr">
        <is>
          <t>Peilmoment 2 - toetsen</t>
        </is>
      </c>
      <c r="J6" s="25" t="inlineStr">
        <is>
          <t>Optionele portfolio items</t>
        </is>
      </c>
      <c r="K6" s="26" t="inlineStr">
        <is>
          <t>Optionele portfolio items</t>
        </is>
      </c>
      <c r="L6" s="25" t="inlineStr">
        <is>
          <t>Alternatieve portfolio items</t>
        </is>
      </c>
      <c r="M6" s="26" t="inlineStr">
        <is>
          <t>Alternatieve portfolio items</t>
        </is>
      </c>
      <c r="N6" s="25" t="n"/>
      <c r="O6" s="22" t="n"/>
      <c r="P6" s="22" t="n"/>
    </row>
    <row r="7" hidden="1" outlineLevel="1" s="84">
      <c r="A7" s="28" t="n"/>
      <c r="B7" s="28" t="n"/>
      <c r="C7" s="28">
        <f>MATCH(C6,$A:$A,0)</f>
        <v/>
      </c>
      <c r="D7" s="29">
        <f>MATCH(D6,$A:$A,0)</f>
        <v/>
      </c>
      <c r="E7" s="28">
        <f>MATCH(E6,$A:$A,0)</f>
        <v/>
      </c>
      <c r="F7" s="28">
        <f>IF(LEN(F6)&gt;0,MATCH(F6,$A:$A,0),MATCH(E6,$A:$A,0)+101)</f>
        <v/>
      </c>
      <c r="G7" s="30">
        <f>MATCH(G6,A:A,0)</f>
        <v/>
      </c>
      <c r="H7" s="28">
        <f>MATCH(H6,$A:$A,0)</f>
        <v/>
      </c>
      <c r="I7" s="28">
        <f>MATCH(I6,$A:$A,0)</f>
        <v/>
      </c>
      <c r="J7" s="28">
        <f>IF(LEN(J6)&gt;0,MATCH(J6,$A:$A,0),MATCH(I6,$A:$A,0)+101)</f>
        <v/>
      </c>
      <c r="K7" s="30">
        <f>MATCH(K6,$A:$A,0)</f>
        <v/>
      </c>
      <c r="L7" s="28">
        <f>IF(LEN(L6)&gt;0,MATCH(L6,$A:$A,0),MATCH(K6,$A:$A,0)+101)</f>
        <v/>
      </c>
      <c r="M7" s="30">
        <f>MATCH(M6,$A:$A,0)</f>
        <v/>
      </c>
      <c r="N7" s="28">
        <f>IF(LEN(N6)&gt;0,MATCH(N6,$A:$A,0),MATCH(M6,$A:$A,0)+101)</f>
        <v/>
      </c>
      <c r="O7" s="28" t="n"/>
      <c r="P7" s="28" t="n"/>
    </row>
    <row r="8" hidden="1" outlineLevel="1" s="84">
      <c r="A8" s="31" t="n"/>
      <c r="B8" s="32" t="inlineStr">
        <is>
          <t>Peiling 1: Verplichte portfolio-items</t>
        </is>
      </c>
      <c r="C8" s="31">
        <f>ADDRESS($C$7+1,3)&amp;":"&amp;ADDRESS($D$7-1,3)</f>
        <v/>
      </c>
      <c r="D8" s="31" t="n"/>
      <c r="E8" s="31" t="n"/>
      <c r="F8" s="22">
        <f>ADDRESS($C$7+1,COLUMN())&amp;":"&amp;ADDRESS($D$7-1,COLUMN())</f>
        <v/>
      </c>
      <c r="G8" s="22">
        <f>ADDRESS($C$7+1,COLUMN())&amp;":"&amp;ADDRESS($D$7-1,COLUMN())</f>
        <v/>
      </c>
      <c r="H8" s="22">
        <f>ADDRESS($C$7+1,COLUMN())&amp;":"&amp;ADDRESS($D$7-1,COLUMN())</f>
        <v/>
      </c>
      <c r="I8" s="22">
        <f>ADDRESS($C$7+1,COLUMN())&amp;":"&amp;ADDRESS($D$7-1,COLUMN())</f>
        <v/>
      </c>
      <c r="J8" s="22">
        <f>ADDRESS($C$7+1,COLUMN())&amp;":"&amp;ADDRESS($D$7-1,COLUMN())</f>
        <v/>
      </c>
      <c r="K8" s="22">
        <f>ADDRESS($C$7+1,COLUMN())&amp;":"&amp;ADDRESS($D$7-1,COLUMN())</f>
        <v/>
      </c>
      <c r="L8" s="22">
        <f>ADDRESS($C$7+1,COLUMN())&amp;":"&amp;ADDRESS($D$7-1,COLUMN())</f>
        <v/>
      </c>
      <c r="M8" s="22">
        <f>ADDRESS($C$7+1,COLUMN())&amp;":"&amp;ADDRESS($D$7-1,COLUMN())</f>
        <v/>
      </c>
      <c r="N8" s="22">
        <f>ADDRESS($C$7+1,COLUMN())&amp;":"&amp;ADDRESS($D$7-1,COLUMN())</f>
        <v/>
      </c>
      <c r="O8" s="22">
        <f>ADDRESS($C$7+1,COLUMN())&amp;":"&amp;ADDRESS($D$7-1,COLUMN())</f>
        <v/>
      </c>
      <c r="P8" s="22">
        <f>ADDRESS($C$7+1,COLUMN())&amp;":"&amp;ADDRESS($D$7-1,COLUMN())</f>
        <v/>
      </c>
    </row>
    <row r="9" hidden="1" outlineLevel="1" s="84">
      <c r="A9" s="22" t="n"/>
      <c r="B9" s="27" t="inlineStr">
        <is>
          <t>Peiling 1: Boven niveau voor toetsen</t>
        </is>
      </c>
      <c r="C9" s="22">
        <f>ADDRESS($G$7+1,3)&amp;":"&amp;ADDRESS($H$7-1,3)</f>
        <v/>
      </c>
      <c r="D9" s="22" t="n"/>
      <c r="E9" s="22" t="n"/>
      <c r="F9" s="22">
        <f>ADDRESS($G$7+1,COLUMN())&amp;":"&amp;ADDRESS($H$7-1,COLUMN())</f>
        <v/>
      </c>
      <c r="G9" s="22">
        <f>ADDRESS($G$7+1,COLUMN())&amp;":"&amp;ADDRESS($H$7-1,COLUMN())</f>
        <v/>
      </c>
      <c r="H9" s="22">
        <f>ADDRESS($G$7+1,COLUMN())&amp;":"&amp;ADDRESS($H$7-1,COLUMN())</f>
        <v/>
      </c>
      <c r="I9" s="22">
        <f>ADDRESS($G$7+1,COLUMN())&amp;":"&amp;ADDRESS($H$7-1,COLUMN())</f>
        <v/>
      </c>
      <c r="J9" s="22">
        <f>ADDRESS($G$7+1,COLUMN())&amp;":"&amp;ADDRESS($H$7-1,COLUMN())</f>
        <v/>
      </c>
      <c r="K9" s="22">
        <f>ADDRESS($G$7+1,COLUMN())&amp;":"&amp;ADDRESS($H$7-1,COLUMN())</f>
        <v/>
      </c>
      <c r="L9" s="22">
        <f>ADDRESS($G$7+1,COLUMN())&amp;":"&amp;ADDRESS($H$7-1,COLUMN())</f>
        <v/>
      </c>
      <c r="M9" s="22">
        <f>ADDRESS($G$7+1,COLUMN())&amp;":"&amp;ADDRESS($H$7-1,COLUMN())</f>
        <v/>
      </c>
      <c r="N9" s="22">
        <f>ADDRESS($G$7+1,COLUMN())&amp;":"&amp;ADDRESS($H$7-1,COLUMN())</f>
        <v/>
      </c>
      <c r="O9" s="22">
        <f>ADDRESS($G$7+1,COLUMN())&amp;":"&amp;ADDRESS($H$7-1,COLUMN())</f>
        <v/>
      </c>
      <c r="P9" s="22">
        <f>ADDRESS($G$7+1,COLUMN())&amp;":"&amp;ADDRESS($H$7-1,COLUMN())</f>
        <v/>
      </c>
    </row>
    <row r="10" hidden="1" outlineLevel="1" s="84">
      <c r="A10" s="22" t="n"/>
      <c r="B10" s="27" t="inlineStr">
        <is>
          <t>Peiling 2: Verplichte portfolio-items</t>
        </is>
      </c>
      <c r="C10" s="22">
        <f>ADDRESS($C$7+1,3)&amp;":"&amp;ADDRESS($E$7-1,3)</f>
        <v/>
      </c>
      <c r="D10" s="22" t="n"/>
      <c r="E10" s="22" t="n"/>
      <c r="F10" s="22">
        <f>ADDRESS($C$7+1,COLUMN())&amp;":"&amp;ADDRESS($E$7-1,COLUMN())</f>
        <v/>
      </c>
      <c r="G10" s="22">
        <f>ADDRESS($C$7+1,COLUMN())&amp;":"&amp;ADDRESS($E$7-1,COLUMN())</f>
        <v/>
      </c>
      <c r="H10" s="22">
        <f>ADDRESS($C$7+1,COLUMN())&amp;":"&amp;ADDRESS($E$7-1,COLUMN())</f>
        <v/>
      </c>
      <c r="I10" s="22">
        <f>ADDRESS($C$7+1,COLUMN())&amp;":"&amp;ADDRESS($E$7-1,COLUMN())</f>
        <v/>
      </c>
      <c r="J10" s="22">
        <f>ADDRESS($C$7+1,COLUMN())&amp;":"&amp;ADDRESS($E$7-1,COLUMN())</f>
        <v/>
      </c>
      <c r="K10" s="22">
        <f>ADDRESS($C$7+1,COLUMN())&amp;":"&amp;ADDRESS($E$7-1,COLUMN())</f>
        <v/>
      </c>
      <c r="L10" s="22">
        <f>ADDRESS($C$7+1,COLUMN())&amp;":"&amp;ADDRESS($E$7-1,COLUMN())</f>
        <v/>
      </c>
      <c r="M10" s="22">
        <f>ADDRESS($C$7+1,COLUMN())&amp;":"&amp;ADDRESS($E$7-1,COLUMN())</f>
        <v/>
      </c>
      <c r="N10" s="22">
        <f>ADDRESS($C$7+1,COLUMN())&amp;":"&amp;ADDRESS($E$7-1,COLUMN())</f>
        <v/>
      </c>
      <c r="O10" s="22">
        <f>ADDRESS($C$7+1,COLUMN())&amp;":"&amp;ADDRESS($E$7-1,COLUMN())</f>
        <v/>
      </c>
      <c r="P10" s="22">
        <f>ADDRESS($C$7+1,COLUMN())&amp;":"&amp;ADDRESS($E$7-1,COLUMN())</f>
        <v/>
      </c>
    </row>
    <row r="11" hidden="1" outlineLevel="1" s="84">
      <c r="A11" s="22" t="n"/>
      <c r="B11" s="27" t="inlineStr">
        <is>
          <t>Peiling 2: Boven niveau voor toetsen</t>
        </is>
      </c>
      <c r="C11" s="22">
        <f>ADDRESS($G$7+1,3)&amp;":"&amp;ADDRESS($I$7-1,3)</f>
        <v/>
      </c>
      <c r="D11" s="22" t="n"/>
      <c r="E11" s="22" t="n"/>
      <c r="F11" s="22">
        <f>ADDRESS($G$7+1,COLUMN())&amp;":"&amp;ADDRESS($I$7-1,COLUMN())</f>
        <v/>
      </c>
      <c r="G11" s="22">
        <f>ADDRESS($G$7+1,COLUMN())&amp;":"&amp;ADDRESS($I$7-1,COLUMN())</f>
        <v/>
      </c>
      <c r="H11" s="22">
        <f>ADDRESS($G$7+1,COLUMN())&amp;":"&amp;ADDRESS($I$7-1,COLUMN())</f>
        <v/>
      </c>
      <c r="I11" s="22">
        <f>ADDRESS($G$7+1,COLUMN())&amp;":"&amp;ADDRESS($I$7-1,COLUMN())</f>
        <v/>
      </c>
      <c r="J11" s="22">
        <f>ADDRESS($G$7+1,COLUMN())&amp;":"&amp;ADDRESS($I$7-1,COLUMN())</f>
        <v/>
      </c>
      <c r="K11" s="22">
        <f>ADDRESS($G$7+1,COLUMN())&amp;":"&amp;ADDRESS($I$7-1,COLUMN())</f>
        <v/>
      </c>
      <c r="L11" s="22">
        <f>ADDRESS($G$7+1,COLUMN())&amp;":"&amp;ADDRESS($I$7-1,COLUMN())</f>
        <v/>
      </c>
      <c r="M11" s="22">
        <f>ADDRESS($G$7+1,COLUMN())&amp;":"&amp;ADDRESS($I$7-1,COLUMN())</f>
        <v/>
      </c>
      <c r="N11" s="22">
        <f>ADDRESS($G$7+1,COLUMN())&amp;":"&amp;ADDRESS($I$7-1,COLUMN())</f>
        <v/>
      </c>
      <c r="O11" s="22">
        <f>ADDRESS($G$7+1,COLUMN())&amp;":"&amp;ADDRESS($I$7-1,COLUMN())</f>
        <v/>
      </c>
      <c r="P11" s="22">
        <f>ADDRESS($G$7+1,COLUMN())&amp;":"&amp;ADDRESS($I$7-1,COLUMN())</f>
        <v/>
      </c>
    </row>
    <row r="12" hidden="1" outlineLevel="1" s="84">
      <c r="A12" s="22" t="n"/>
      <c r="B12" s="27" t="inlineStr">
        <is>
          <t>Beoordeling: Verplichte portfolio-items</t>
        </is>
      </c>
      <c r="C12" s="22">
        <f>ADDRESS($C$7+1,3)&amp;":"&amp;ADDRESS($F$7-1,3)</f>
        <v/>
      </c>
      <c r="D12" s="22" t="n"/>
      <c r="E12" s="22" t="n"/>
      <c r="F12" s="22">
        <f>ADDRESS($C$7+1,COLUMN())&amp;":"&amp;ADDRESS($F$7-1,COLUMN())</f>
        <v/>
      </c>
      <c r="G12" s="22">
        <f>ADDRESS($C$7+1,COLUMN())&amp;":"&amp;ADDRESS($F$7-1,COLUMN())</f>
        <v/>
      </c>
      <c r="H12" s="22">
        <f>ADDRESS($C$7+1,COLUMN())&amp;":"&amp;ADDRESS($F$7-1,COLUMN())</f>
        <v/>
      </c>
      <c r="I12" s="22">
        <f>ADDRESS($C$7+1,COLUMN())&amp;":"&amp;ADDRESS($F$7-1,COLUMN())</f>
        <v/>
      </c>
      <c r="J12" s="22">
        <f>ADDRESS($C$7+1,COLUMN())&amp;":"&amp;ADDRESS($F$7-1,COLUMN())</f>
        <v/>
      </c>
      <c r="K12" s="22">
        <f>ADDRESS($C$7+1,COLUMN())&amp;":"&amp;ADDRESS($F$7-1,COLUMN())</f>
        <v/>
      </c>
      <c r="L12" s="22">
        <f>ADDRESS($C$7+1,COLUMN())&amp;":"&amp;ADDRESS($F$7-1,COLUMN())</f>
        <v/>
      </c>
      <c r="M12" s="22">
        <f>ADDRESS($C$7+1,COLUMN())&amp;":"&amp;ADDRESS($F$7-1,COLUMN())</f>
        <v/>
      </c>
      <c r="N12" s="22">
        <f>ADDRESS($C$7+1,COLUMN())&amp;":"&amp;ADDRESS($F$7-1,COLUMN())</f>
        <v/>
      </c>
      <c r="O12" s="22">
        <f>ADDRESS($C$7+1,COLUMN())&amp;":"&amp;ADDRESS($F$7-1,COLUMN())</f>
        <v/>
      </c>
      <c r="P12" s="22">
        <f>ADDRESS($C$7+1,COLUMN())&amp;":"&amp;ADDRESS($F$7-1,COLUMN())</f>
        <v/>
      </c>
    </row>
    <row r="13" hidden="1" outlineLevel="1" s="84">
      <c r="A13" s="22" t="n"/>
      <c r="B13" s="27" t="inlineStr">
        <is>
          <t>Beoordeling: Boven niveau voor toetsen</t>
        </is>
      </c>
      <c r="C13" s="22">
        <f>ADDRESS($G$7+1,3)&amp;":"&amp;ADDRESS($J$7-1,3)</f>
        <v/>
      </c>
      <c r="D13" s="22" t="n"/>
      <c r="E13" s="22" t="n"/>
      <c r="F13" s="22">
        <f>ADDRESS($G$7+1,COLUMN())&amp;":"&amp;ADDRESS($J$7-1,COLUMN())</f>
        <v/>
      </c>
      <c r="G13" s="22">
        <f>ADDRESS($G$7+1,COLUMN())&amp;":"&amp;ADDRESS($J$7-1,COLUMN())</f>
        <v/>
      </c>
      <c r="H13" s="22">
        <f>ADDRESS($G$7+1,COLUMN())&amp;":"&amp;ADDRESS($J$7-1,COLUMN())</f>
        <v/>
      </c>
      <c r="I13" s="22">
        <f>ADDRESS($G$7+1,COLUMN())&amp;":"&amp;ADDRESS($J$7-1,COLUMN())</f>
        <v/>
      </c>
      <c r="J13" s="22">
        <f>ADDRESS($G$7+1,COLUMN())&amp;":"&amp;ADDRESS($J$7-1,COLUMN())</f>
        <v/>
      </c>
      <c r="K13" s="22">
        <f>ADDRESS($G$7+1,COLUMN())&amp;":"&amp;ADDRESS($J$7-1,COLUMN())</f>
        <v/>
      </c>
      <c r="L13" s="22">
        <f>ADDRESS($G$7+1,COLUMN())&amp;":"&amp;ADDRESS($J$7-1,COLUMN())</f>
        <v/>
      </c>
      <c r="M13" s="22">
        <f>ADDRESS($G$7+1,COLUMN())&amp;":"&amp;ADDRESS($J$7-1,COLUMN())</f>
        <v/>
      </c>
      <c r="N13" s="22">
        <f>ADDRESS($G$7+1,COLUMN())&amp;":"&amp;ADDRESS($J$7-1,COLUMN())</f>
        <v/>
      </c>
      <c r="O13" s="22">
        <f>ADDRESS($G$7+1,COLUMN())&amp;":"&amp;ADDRESS($J$7-1,COLUMN())</f>
        <v/>
      </c>
      <c r="P13" s="22">
        <f>ADDRESS($G$7+1,COLUMN())&amp;":"&amp;ADDRESS($J$7-1,COLUMN())</f>
        <v/>
      </c>
    </row>
    <row r="14" hidden="1" outlineLevel="1" s="84">
      <c r="A14" s="22" t="n"/>
      <c r="B14" s="27" t="inlineStr">
        <is>
          <t>Optionele portfolio-items</t>
        </is>
      </c>
      <c r="C14" s="22">
        <f>ADDRESS($K$7+1,3)&amp;":"&amp;ADDRESS($L$7-1,3)</f>
        <v/>
      </c>
      <c r="D14" s="22" t="n"/>
      <c r="E14" s="22" t="n"/>
      <c r="F14" s="22">
        <f>ADDRESS($K$7+1,COLUMN())&amp;":"&amp;ADDRESS($L$7-1,COLUMN())</f>
        <v/>
      </c>
      <c r="G14" s="22">
        <f>ADDRESS($K$7+1,COLUMN())&amp;":"&amp;ADDRESS($L$7-1,COLUMN())</f>
        <v/>
      </c>
      <c r="H14" s="22">
        <f>ADDRESS($K$7+1,COLUMN())&amp;":"&amp;ADDRESS($L$7-1,COLUMN())</f>
        <v/>
      </c>
      <c r="I14" s="22">
        <f>ADDRESS($K$7+1,COLUMN())&amp;":"&amp;ADDRESS($L$7-1,COLUMN())</f>
        <v/>
      </c>
      <c r="J14" s="22">
        <f>ADDRESS($K$7+1,COLUMN())&amp;":"&amp;ADDRESS($L$7-1,COLUMN())</f>
        <v/>
      </c>
      <c r="K14" s="22">
        <f>ADDRESS($K$7+1,COLUMN())&amp;":"&amp;ADDRESS($L$7-1,COLUMN())</f>
        <v/>
      </c>
      <c r="L14" s="22">
        <f>ADDRESS($K$7+1,COLUMN())&amp;":"&amp;ADDRESS($L$7-1,COLUMN())</f>
        <v/>
      </c>
      <c r="M14" s="22">
        <f>ADDRESS($K$7+1,COLUMN())&amp;":"&amp;ADDRESS($L$7-1,COLUMN())</f>
        <v/>
      </c>
      <c r="N14" s="22">
        <f>ADDRESS($K$7+1,COLUMN())&amp;":"&amp;ADDRESS($L$7-1,COLUMN())</f>
        <v/>
      </c>
      <c r="O14" s="22">
        <f>ADDRESS($K$7+1,COLUMN())&amp;":"&amp;ADDRESS($L$7-1,COLUMN())</f>
        <v/>
      </c>
      <c r="P14" s="22">
        <f>ADDRESS($K$7+1,COLUMN())&amp;":"&amp;ADDRESS($L$7-1,COLUMN())</f>
        <v/>
      </c>
    </row>
    <row r="15" hidden="1" outlineLevel="1" s="84">
      <c r="A15" s="22" t="n"/>
      <c r="B15" s="27" t="inlineStr">
        <is>
          <t>Alternatieve portfolio-items</t>
        </is>
      </c>
      <c r="C15" s="22">
        <f>ADDRESS($M$7+1,3)&amp;":"&amp;ADDRESS($N$7-1,3)</f>
        <v/>
      </c>
      <c r="D15" s="22" t="n"/>
      <c r="E15" s="22" t="n"/>
      <c r="F15" s="22">
        <f>ADDRESS($M$7+1,COLUMN())&amp;":"&amp;ADDRESS($N$7-1,COLUMN())</f>
        <v/>
      </c>
      <c r="G15" s="22">
        <f>ADDRESS($M$7+1,COLUMN())&amp;":"&amp;ADDRESS($N$7-1,COLUMN())</f>
        <v/>
      </c>
      <c r="H15" s="22">
        <f>ADDRESS($M$7+1,COLUMN())&amp;":"&amp;ADDRESS($N$7-1,COLUMN())</f>
        <v/>
      </c>
      <c r="I15" s="22">
        <f>ADDRESS($M$7+1,COLUMN())&amp;":"&amp;ADDRESS($N$7-1,COLUMN())</f>
        <v/>
      </c>
      <c r="J15" s="22">
        <f>ADDRESS($M$7+1,COLUMN())&amp;":"&amp;ADDRESS($N$7-1,COLUMN())</f>
        <v/>
      </c>
      <c r="K15" s="22">
        <f>ADDRESS($M$7+1,COLUMN())&amp;":"&amp;ADDRESS($N$7-1,COLUMN())</f>
        <v/>
      </c>
      <c r="L15" s="22">
        <f>ADDRESS($M$7+1,COLUMN())&amp;":"&amp;ADDRESS($N$7-1,COLUMN())</f>
        <v/>
      </c>
      <c r="M15" s="22">
        <f>ADDRESS($M$7+1,COLUMN())&amp;":"&amp;ADDRESS($N$7-1,COLUMN())</f>
        <v/>
      </c>
      <c r="N15" s="22">
        <f>ADDRESS($M$7+1,COLUMN())&amp;":"&amp;ADDRESS($N$7-1,COLUMN())</f>
        <v/>
      </c>
      <c r="O15" s="22">
        <f>ADDRESS($M$7+1,COLUMN())&amp;":"&amp;ADDRESS($N$7-1,COLUMN())</f>
        <v/>
      </c>
      <c r="P15" s="22">
        <f>ADDRESS($M$7+1,COLUMN())&amp;":"&amp;ADDRESS($N$7-1,COLUMN())</f>
        <v/>
      </c>
    </row>
    <row r="16" collapsed="1" s="84">
      <c r="A16" s="17" t="inlineStr">
        <is>
          <t>Legenda:</t>
        </is>
      </c>
    </row>
    <row r="17">
      <c r="A17" s="12" t="inlineStr">
        <is>
          <t>oranje = onder niveau</t>
        </is>
      </c>
    </row>
    <row r="18">
      <c r="A18" s="13" t="inlineStr">
        <is>
          <t>lichtgroen = op niveau</t>
        </is>
      </c>
    </row>
    <row r="19">
      <c r="A19" s="14" t="inlineStr">
        <is>
          <t>groen = boven niveau</t>
        </is>
      </c>
    </row>
    <row r="20">
      <c r="A20" s="15" t="inlineStr">
        <is>
          <t>wit = bespreekgeval</t>
        </is>
      </c>
    </row>
    <row r="21" ht="15.75" customHeight="1" s="84">
      <c r="G21" s="92" t="inlineStr">
        <is>
          <t>Leeruitkomsten architectuurlagen / activiteiten</t>
        </is>
      </c>
      <c r="H21" s="93" t="n"/>
      <c r="I21" s="93" t="n"/>
      <c r="J21" s="93" t="n"/>
      <c r="K21" s="93" t="n"/>
      <c r="L21" s="94" t="n"/>
      <c r="M21" s="92" t="inlineStr">
        <is>
          <t>Leeruitkomsten professional skills</t>
        </is>
      </c>
      <c r="N21" s="93" t="n"/>
      <c r="O21" s="93" t="n"/>
      <c r="P21" s="94" t="n"/>
    </row>
    <row r="22" ht="30" customHeight="1" s="84">
      <c r="A22" s="19" t="n"/>
      <c r="C22" s="79" t="n"/>
      <c r="F22" s="49" t="n"/>
      <c r="G22" s="33" t="inlineStr">
        <is>
          <t xml:space="preserve"> Analyse</t>
        </is>
      </c>
      <c r="H22" s="9" t="inlineStr">
        <is>
          <t>Ontwerp</t>
        </is>
      </c>
      <c r="I22" s="9" t="inlineStr">
        <is>
          <t>Realisatie NTW</t>
        </is>
      </c>
      <c r="J22" s="9" t="inlineStr">
        <is>
          <t>Realisatie PLF</t>
        </is>
      </c>
      <c r="K22" s="9" t="inlineStr">
        <is>
          <t xml:space="preserve"> Manag. &amp; Control</t>
        </is>
      </c>
      <c r="L22" s="34" t="inlineStr">
        <is>
          <t>Advies</t>
        </is>
      </c>
      <c r="M22" s="33" t="inlineStr">
        <is>
          <t>Onderzoekend</t>
        </is>
      </c>
      <c r="N22" s="9" t="inlineStr">
        <is>
          <t>Organi-serend</t>
        </is>
      </c>
      <c r="O22" s="9" t="inlineStr">
        <is>
          <t>Interactief</t>
        </is>
      </c>
      <c r="P22" s="34" t="inlineStr">
        <is>
          <t>Lerend</t>
        </is>
      </c>
    </row>
    <row r="23" ht="15.75" customHeight="1" s="84" thickBot="1">
      <c r="A23" s="6" t="n"/>
      <c r="B23" s="18" t="inlineStr">
        <is>
          <t>Norm</t>
        </is>
      </c>
      <c r="C23" s="18" t="inlineStr">
        <is>
          <t>Score</t>
        </is>
      </c>
      <c r="D23" s="6" t="n"/>
      <c r="E23" s="6" t="n"/>
      <c r="F23" s="66" t="inlineStr">
        <is>
          <t>gewicht</t>
        </is>
      </c>
      <c r="G23" s="35" t="inlineStr">
        <is>
          <t>CSC.S2.1</t>
        </is>
      </c>
      <c r="H23" s="10" t="inlineStr">
        <is>
          <t>CSC.S2.2</t>
        </is>
      </c>
      <c r="I23" s="10" t="inlineStr">
        <is>
          <t>CSC.S2.3</t>
        </is>
      </c>
      <c r="J23" s="10" t="inlineStr">
        <is>
          <t>CSC.S2.4</t>
        </is>
      </c>
      <c r="K23" s="10" t="inlineStr">
        <is>
          <t>CSC.S2.5</t>
        </is>
      </c>
      <c r="L23" s="36" t="inlineStr">
        <is>
          <t>CSC.S2.6</t>
        </is>
      </c>
      <c r="M23" s="61" t="inlineStr">
        <is>
          <t>PS.S2.1</t>
        </is>
      </c>
      <c r="N23" s="11" t="inlineStr">
        <is>
          <t>PS.S2.2</t>
        </is>
      </c>
      <c r="O23" s="11" t="inlineStr">
        <is>
          <t>PS.S2.3</t>
        </is>
      </c>
      <c r="P23" s="62" t="inlineStr">
        <is>
          <t>PS.S2.4</t>
        </is>
      </c>
    </row>
    <row r="24" outlineLevel="1" s="84">
      <c r="A24" s="48" t="inlineStr">
        <is>
          <t>Verplichte portfolio-items</t>
        </is>
      </c>
      <c r="B24" s="38" t="n">
        <v>0.8</v>
      </c>
      <c r="C24" s="38" t="n"/>
      <c r="D24" s="38" t="n"/>
      <c r="F24" s="49" t="n"/>
      <c r="G24" s="37">
        <f t="array" ref="G24:P24">_xlfn.LET(_xlpm.voldoende,{"op";"boven"},
     _xlpm.niet_meerekenen,{"niet-nagekeken";"vrijgesteld"},
     _xlpm.verplicht_index_row,8,
     _xlpm.toetsen_index_row,9,
     _xlpm.score_column,3,
     _xlpm.verplicht_max,INDIRECT(INDIRECT(ADDRESS(_xlpm.verplicht_index_row,COLUMN()))),
     _xlpm.verplicht_score,INDIRECT(INDIRECT(ADDRESS(_xlpm.verplicht_index_row,_xlpm.score_column))),
     _xlpm.toetsen_max,INDIRECT(INDIRECT(ADDRESS(_xlpm.toetsen_index_row,COLUMN()))),
     _xlpm.toetsen_score,INDIRECT(INDIRECT(ADDRESS(_xlpm.toetsen_index_row,_xlpm.score_column))),
        IFERROR(
            SUM(
                SUMIFS(_xlpm.verplicht_max,_xlpm.verplicht_score,_xlpm.voldoende),SUMIFS(_xlpm.toetsen_max,_xlpm.toetsen_score,_xlpm.voldoende)
            )/(
                SUM(_xlpm.verplicht_max)+SUM(_xlpm.toetsen_max)-SUM(
                    SUMIFS(_xlpm.verplicht_max,_xlpm.verplicht_score,_xlpm.niet_meerekenen),SUMIFS(_xlpm.toetsen_max,_xlpm.toetsen_score,_xlpm.niet_meerekenen))
              ),
            ""
        )
)</f>
        <v/>
      </c>
      <c r="H24" s="38">
        <f/>
        <v/>
      </c>
      <c r="I24" s="38">
        <f/>
        <v/>
      </c>
      <c r="J24" s="38">
        <f/>
        <v/>
      </c>
      <c r="K24" s="38">
        <f/>
        <v/>
      </c>
      <c r="L24" s="39">
        <f/>
        <v/>
      </c>
      <c r="M24" s="37">
        <f/>
        <v/>
      </c>
      <c r="N24" s="38">
        <f/>
        <v/>
      </c>
      <c r="O24" s="38">
        <f/>
        <v/>
      </c>
      <c r="P24" s="39">
        <f/>
        <v/>
      </c>
    </row>
    <row r="25" outlineLevel="1" s="84">
      <c r="A25" s="48" t="inlineStr">
        <is>
          <t>Boven niveau voor toetsen</t>
        </is>
      </c>
      <c r="B25" s="83" t="n">
        <v>0.5</v>
      </c>
      <c r="C25" s="83" t="n"/>
      <c r="D25" s="83" t="n"/>
      <c r="F25" s="49" t="n"/>
      <c r="G25" s="40">
        <f t="array" ref="G25:P25">_xlfn.LET(_xlpm.niet_meerekenen,{"niet-nagekeken";"vrijgesteld"},
     _xlpm.toetsen_index_row,9,
     _xlpm.score_column,3,
     _xlpm.toetsen_max,INDIRECT(INDIRECT(ADDRESS(_xlpm.toetsen_index_row,COLUMN()))),
     _xlpm.toetsen_score,INDIRECT(INDIRECT(ADDRESS(_xlpm.toetsen_index_row,_xlpm.score_column))),
        IFERROR(SUMIFS(_xlpm.toetsen_max,_xlpm.toetsen_score,"boven")/(SUM(_xlpm.toetsen_max)-SUM(SUMIFS(_xlpm.toetsen_max,_xlpm.toetsen_score,_xlpm.niet_meerekenen))),IF(I$23="Score",0,""))
)</f>
        <v/>
      </c>
      <c r="H25" s="83">
        <f/>
        <v/>
      </c>
      <c r="I25" s="83">
        <f/>
        <v/>
      </c>
      <c r="J25" s="83">
        <f/>
        <v/>
      </c>
      <c r="K25" s="83">
        <f/>
        <v/>
      </c>
      <c r="L25" s="42">
        <f/>
        <v/>
      </c>
      <c r="M25" s="40">
        <f/>
        <v/>
      </c>
      <c r="N25" s="83">
        <f/>
        <v/>
      </c>
      <c r="O25" s="83">
        <f/>
        <v/>
      </c>
      <c r="P25" s="42">
        <f/>
        <v/>
      </c>
    </row>
    <row r="26" outlineLevel="1" ht="15.75" customHeight="1" s="84" thickBot="1">
      <c r="A26" s="48" t="inlineStr">
        <is>
          <t>Optionele en alternatieve portfolio-items</t>
        </is>
      </c>
      <c r="C26" s="38" t="n"/>
      <c r="D26" s="38" t="n"/>
      <c r="F26" s="49" t="n"/>
      <c r="G26" s="37">
        <f t="array" ref="G26:P26">_xlfn.LET(
     _xlpm.optioneel_index_row,14,
     _xlpm.alternatief_index_row,15,
     _xlpm.score_column,3,
     _xlpm.optioneel_max,INDIRECT(INDIRECT(ADDRESS(_xlpm.optioneel_index_row,COLUMN()))),
     _xlpm.optioneel_score,INDIRECT(INDIRECT(ADDRESS(_xlpm.optioneel_index_row,_xlpm.score_column))),
     _xlpm.alternatief_max,INDIRECT(INDIRECT(ADDRESS(_xlpm.alternatief_index_row,COLUMN()))),
     _xlpm.alternatief_score,INDIRECT(INDIRECT(ADDRESS(_xlpm.alternatief_index_row,_xlpm.score_column))),
        IFERROR(
            SUM(
                SUMIFS(_xlpm.optioneel_max,_xlpm.optioneel_score,{"op";"boven"}),
                SUMIFS(_xlpm.alternatief_max,_xlpm.alternatief_score,{"op";"boven"})
            )/SUM(_xlpm.optioneel_max,_xlpm.alternatief_max),
            "")
)</f>
        <v/>
      </c>
      <c r="H26" s="38">
        <f/>
        <v/>
      </c>
      <c r="I26" s="38">
        <f/>
        <v/>
      </c>
      <c r="J26" s="38">
        <f/>
        <v/>
      </c>
      <c r="K26" s="38">
        <f/>
        <v/>
      </c>
      <c r="L26" s="39">
        <f/>
        <v/>
      </c>
      <c r="M26" s="37">
        <f/>
        <v/>
      </c>
      <c r="N26" s="38">
        <f/>
        <v/>
      </c>
      <c r="O26" s="38">
        <f/>
        <v/>
      </c>
      <c r="P26" s="39">
        <f/>
        <v/>
      </c>
    </row>
    <row r="27" hidden="1" outlineLevel="2" ht="15.75" customHeight="1" s="84" thickBot="1">
      <c r="A27" s="48" t="inlineStr">
        <is>
          <t>Totaal boven niveau</t>
        </is>
      </c>
      <c r="C27" s="38" t="n"/>
      <c r="D27" s="38" t="n"/>
      <c r="F27" s="49" t="n"/>
      <c r="G27" s="37">
        <f t="array" ref="G27:P27">_xlfn.LET(
     _xlpm.toetsen_index_row,9,
     _xlpm.optioneel_index_row,14,
     _xlpm.alternatief_index_row,15,
     _xlpm.toetsen_max,INDIRECT(INDIRECT(ADDRESS(_xlpm.toetsen_index_row,COLUMN()))),
     _xlpm.optioneel_max,INDIRECT(INDIRECT(ADDRESS(_xlpm.optioneel_index_row,COLUMN()))),
     _xlpm.alternatief_max,INDIRECT(INDIRECT(ADDRESS(_xlpm.alternatief_index_row,COLUMN()))),
     _xlpm.toetsen_perc,INDIRECT(ADDRESS(ROW()-2,COLUMN())),
     _xlpm.optioneel_perc,INDIRECT(ADDRESS(ROW()-1,COLUMN())),
        IFERROR(
            ( _xlpm.toetsen_perc*SUM(_xlpm.toetsen_max) + _xlpm.optioneel_perc*SUM(_xlpm.optioneel_max,_xlpm.alternatief_max) ) / SUM(_xlpm.toetsen_max,_xlpm.optioneel_max,_xlpm.alternatief_max),
            0
        )
)</f>
        <v/>
      </c>
      <c r="H27" s="38">
        <f/>
        <v/>
      </c>
      <c r="I27" s="38">
        <f/>
        <v/>
      </c>
      <c r="J27" s="38">
        <f/>
        <v/>
      </c>
      <c r="K27" s="38">
        <f/>
        <v/>
      </c>
      <c r="L27" s="39">
        <f/>
        <v/>
      </c>
      <c r="M27" s="37">
        <f/>
        <v/>
      </c>
      <c r="N27" s="38">
        <f/>
        <v/>
      </c>
      <c r="O27" s="38">
        <f/>
        <v/>
      </c>
      <c r="P27" s="39">
        <f/>
        <v/>
      </c>
    </row>
    <row r="28" outlineLevel="1" collapsed="1" ht="21.75" customHeight="1" s="84" thickBot="1">
      <c r="A28" s="67" t="inlineStr">
        <is>
          <t>JOUW EERSTE PEILING</t>
        </is>
      </c>
      <c r="B28" s="7" t="n"/>
      <c r="C28" s="8">
        <f>IF(COUNTIF(G28:P28,"onder"),"onder",IF(COUNTIF(G28:P28,"boven*")&gt;0,IF(COUNTIF(G28:P28,"op")=0,"boven","boven?"),"op"))</f>
        <v/>
      </c>
      <c r="D28" s="7" t="n"/>
      <c r="E28" s="7" t="n"/>
      <c r="F28" s="68" t="n"/>
      <c r="G28" s="43">
        <f>IF(COUNT(G24:G26)=0,"n.n.t.b.",IF( G24 &gt;= $B24, IF( G27 &gt;= 0.5*$B25, IF( G27 &gt;= $B25, "boven", "boven?" ), "op"), "onder"))</f>
        <v/>
      </c>
      <c r="H28" s="8">
        <f>IF(COUNT(H24:H26)=0,"n.n.t.b.",IF( H24 &gt;= $B24, IF( H27 &gt;= 0.5*$B25, IF( H27 &gt;= $B25, "boven", "boven?" ), "op"), "onder"))</f>
        <v/>
      </c>
      <c r="I28" s="8">
        <f>IF(COUNT(I24:I26)=0,"n.n.t.b.",IF( I24 &gt;= $B24, IF( I27 &gt;= 0.5*$B25, IF( I27 &gt;= $B25, "boven", "boven?" ), "op"), "onder"))</f>
        <v/>
      </c>
      <c r="J28" s="8">
        <f>IF(COUNT(J24:J26)=0,"n.n.t.b.",IF( J24 &gt;= $B24, IF( J27 &gt;= 0.5*$B25, IF( J27 &gt;= $B25, "boven", "boven?" ), "op"), "onder"))</f>
        <v/>
      </c>
      <c r="K28" s="8">
        <f>IF(COUNT(K24:K26)=0,"n.n.t.b.",IF( K24 &gt;= $B24, IF( K27 &gt;= 0.5*$B25, IF( K27 &gt;= $B25, "boven", "boven?" ), "op"), "onder"))</f>
        <v/>
      </c>
      <c r="L28" s="44">
        <f>IF(COUNT(L24:L26)=0,"n.n.t.b.",IF( L24 &gt;= $B24, IF( L27 &gt;= 0.5*$B25, IF( L27 &gt;= $B25, "boven", "boven?" ), "op"), "onder"))</f>
        <v/>
      </c>
      <c r="M28" s="43">
        <f>IF(COUNT(M24:M26)=0,"n.n.t.b.",IF( M24 &gt;= $B24, IF( M27 &gt;= 0.5*$B25, IF( M27 &gt;= $B25, "boven", "boven?" ), "op"), "onder"))</f>
        <v/>
      </c>
      <c r="N28" s="8">
        <f>IF(COUNT(N24:N26)=0,"n.n.t.b.",IF( N24 &gt;= $B24, IF( N27 &gt;= 0.5*$B25, IF( N27 &gt;= $B25, "boven", "boven?" ), "op"), "onder"))</f>
        <v/>
      </c>
      <c r="O28" s="8">
        <f>IF(COUNT(O24:O26)=0,"n.n.t.b.",IF( O24 &gt;= $B24, IF( O27 &gt;= 0.5*$B25, IF( O27 &gt;= $B25, "boven", "boven?" ), "op"), "onder"))</f>
        <v/>
      </c>
      <c r="P28" s="44">
        <f>IF(COUNT(P24:P26)=0,"n.n.t.b.",IF( P24 &gt;= $B24, IF( P27 &gt;= 0.5*$B25, IF( P27 &gt;= $B25, "boven", "boven?" ), "op"), "onder"))</f>
        <v/>
      </c>
    </row>
    <row r="29">
      <c r="A29" s="48" t="n"/>
      <c r="F29" s="49" t="n"/>
      <c r="G29" s="45" t="n"/>
      <c r="H29" s="46" t="n"/>
      <c r="I29" s="46" t="n"/>
      <c r="J29" s="46" t="n"/>
      <c r="K29" s="46" t="n"/>
      <c r="L29" s="47" t="n"/>
      <c r="M29" s="63" t="n"/>
      <c r="N29" s="64" t="n"/>
      <c r="O29" s="64" t="n"/>
      <c r="P29" s="65" t="n"/>
    </row>
    <row r="30">
      <c r="A30" s="69" t="inlineStr">
        <is>
          <t>Algemeen</t>
        </is>
      </c>
      <c r="F30" s="49" t="n"/>
      <c r="G30" s="45" t="n"/>
      <c r="H30" s="46" t="n"/>
      <c r="I30" s="46" t="n"/>
      <c r="J30" s="46" t="n"/>
      <c r="K30" s="46" t="n"/>
      <c r="L30" s="47" t="n"/>
      <c r="M30" s="63" t="n"/>
      <c r="N30" s="64" t="n"/>
      <c r="O30" s="64" t="n"/>
      <c r="P30" s="65" t="n"/>
    </row>
    <row r="31">
      <c r="A31" s="48" t="inlineStr">
        <is>
          <t>Roll Call Attendance</t>
        </is>
      </c>
      <c r="D31" t="inlineStr">
        <is>
          <t>%</t>
        </is>
      </c>
      <c r="F31" s="49" t="n"/>
      <c r="G31" s="45" t="n"/>
      <c r="H31" s="46" t="n"/>
      <c r="I31" s="46" t="n"/>
      <c r="J31" s="46" t="n"/>
      <c r="K31" s="46" t="n"/>
      <c r="L31" s="47" t="n"/>
      <c r="M31" s="63" t="n"/>
      <c r="N31" s="64" t="n"/>
      <c r="O31" s="64" t="n"/>
      <c r="P31" s="65" t="n"/>
    </row>
    <row r="32">
      <c r="A32" s="48" t="n"/>
      <c r="F32" s="49" t="n"/>
      <c r="G32" s="45" t="n"/>
      <c r="H32" s="46" t="n"/>
      <c r="I32" s="46" t="n"/>
      <c r="J32" s="46" t="n"/>
      <c r="K32" s="46" t="n"/>
      <c r="L32" s="47" t="n"/>
      <c r="M32" s="63" t="n"/>
      <c r="N32" s="64" t="n"/>
      <c r="O32" s="64" t="n"/>
      <c r="P32" s="65" t="n"/>
    </row>
    <row r="33">
      <c r="A33" s="48" t="n"/>
      <c r="F33" s="49" t="n"/>
      <c r="G33" s="48" t="n"/>
      <c r="L33" s="49" t="n"/>
      <c r="M33" s="48" t="n"/>
      <c r="P33" s="49" t="n"/>
    </row>
    <row r="34">
      <c r="A34" s="70" t="inlineStr">
        <is>
          <t>Verplichte portfolio items</t>
        </is>
      </c>
      <c r="C34" s="16" t="inlineStr">
        <is>
          <t>JOUW SCORE</t>
        </is>
      </c>
      <c r="F34" s="49" t="n"/>
      <c r="G34" s="48" t="n"/>
      <c r="L34" s="49" t="n"/>
      <c r="M34" s="48" t="n"/>
      <c r="P34" s="49" t="n"/>
    </row>
    <row r="35">
      <c r="A35" s="95" t="inlineStr">
        <is>
          <t>NTW01: network basics</t>
        </is>
      </c>
      <c r="C35" t="inlineStr">
        <is>
          <t>op</t>
        </is>
      </c>
      <c r="F35" s="49">
        <f>IF(LEN(A35)&gt;0,MAX(G35:P35),"")</f>
        <v/>
      </c>
      <c r="G35" s="50" t="n">
        <v>2</v>
      </c>
      <c r="H35" s="1" t="inlineStr"/>
      <c r="I35" s="1" t="n">
        <v>1</v>
      </c>
      <c r="J35" s="1" t="inlineStr"/>
      <c r="K35" s="1" t="inlineStr"/>
      <c r="L35" s="51" t="inlineStr"/>
      <c r="M35" s="50" t="inlineStr"/>
      <c r="N35" s="1" t="inlineStr"/>
      <c r="O35" s="1" t="inlineStr"/>
      <c r="P35" s="51" t="n">
        <v>1</v>
      </c>
    </row>
    <row r="36">
      <c r="A36" s="95" t="inlineStr">
        <is>
          <t>NTW02: netwerklaag</t>
        </is>
      </c>
      <c r="C36" t="inlineStr">
        <is>
          <t>op</t>
        </is>
      </c>
      <c r="F36" s="49">
        <f>IF(LEN(A36)&gt;0,MAX(G36:P36),"")</f>
        <v/>
      </c>
      <c r="G36" s="50" t="inlineStr"/>
      <c r="H36" s="1" t="n">
        <v>2</v>
      </c>
      <c r="I36" s="1" t="inlineStr"/>
      <c r="J36" s="1" t="inlineStr"/>
      <c r="K36" s="1" t="inlineStr"/>
      <c r="L36" s="51" t="inlineStr"/>
      <c r="M36" s="50" t="inlineStr"/>
      <c r="N36" s="1" t="inlineStr"/>
      <c r="O36" s="1" t="inlineStr"/>
      <c r="P36" s="51" t="n">
        <v>1</v>
      </c>
    </row>
    <row r="37">
      <c r="A37" s="95" t="inlineStr">
        <is>
          <t>PLF01: installaties en Linux gebruikers</t>
        </is>
      </c>
      <c r="C37" t="inlineStr">
        <is>
          <t>op</t>
        </is>
      </c>
      <c r="F37" s="49">
        <f>IF(LEN(A37)&gt;0,MAX(G37:P37),"")</f>
        <v/>
      </c>
      <c r="G37" s="50" t="inlineStr"/>
      <c r="H37" s="1" t="inlineStr"/>
      <c r="I37" s="1" t="inlineStr"/>
      <c r="J37" s="1" t="n">
        <v>1</v>
      </c>
      <c r="K37" s="1" t="n">
        <v>1</v>
      </c>
      <c r="L37" s="51" t="inlineStr"/>
      <c r="M37" s="50" t="n">
        <v>1</v>
      </c>
      <c r="N37" s="1" t="inlineStr"/>
      <c r="O37" s="1" t="inlineStr"/>
      <c r="P37" s="51" t="n">
        <v>1</v>
      </c>
    </row>
    <row r="38">
      <c r="A38" s="48" t="inlineStr">
        <is>
          <t xml:space="preserve">PLF02: Active Directory en Windows gebruikers                         </t>
        </is>
      </c>
      <c r="F38" s="49" t="n"/>
      <c r="G38" s="50" t="inlineStr"/>
      <c r="H38" s="1" t="inlineStr"/>
      <c r="I38" s="1" t="inlineStr"/>
      <c r="J38" s="1" t="n">
        <v>1</v>
      </c>
      <c r="K38" s="1" t="n">
        <v>1</v>
      </c>
      <c r="L38" s="51" t="inlineStr"/>
      <c r="M38" s="50" t="n">
        <v>1</v>
      </c>
      <c r="N38" s="1" t="inlineStr"/>
      <c r="O38" s="1" t="inlineStr"/>
      <c r="P38" s="51" t="n">
        <v>1</v>
      </c>
    </row>
    <row r="39">
      <c r="A39" s="95" t="inlineStr">
        <is>
          <t>NTW03: access laag</t>
        </is>
      </c>
      <c r="C39" t="inlineStr">
        <is>
          <t>op</t>
        </is>
      </c>
      <c r="F39" s="49">
        <f>IF(LEN(A39)&gt;0,MAX(G39:P39),"")</f>
        <v/>
      </c>
      <c r="G39" s="50" t="inlineStr"/>
      <c r="H39" s="1" t="n">
        <v>1</v>
      </c>
      <c r="I39" s="1" t="n">
        <v>2</v>
      </c>
      <c r="J39" s="1" t="inlineStr"/>
      <c r="K39" s="1" t="inlineStr"/>
      <c r="L39" s="51" t="inlineStr"/>
      <c r="M39" s="50" t="inlineStr"/>
      <c r="N39" s="1" t="inlineStr"/>
      <c r="O39" s="1" t="inlineStr"/>
      <c r="P39" s="51" t="inlineStr"/>
    </row>
    <row r="40">
      <c r="A40" s="95" t="inlineStr">
        <is>
          <t>PLF03: Command line</t>
        </is>
      </c>
      <c r="C40" t="inlineStr">
        <is>
          <t>op</t>
        </is>
      </c>
      <c r="F40" s="49">
        <f>IF(LEN(A40)&gt;0,MAX(G40:P40),"")</f>
        <v/>
      </c>
      <c r="G40" s="50" t="inlineStr"/>
      <c r="H40" s="1" t="inlineStr"/>
      <c r="I40" s="1" t="inlineStr"/>
      <c r="J40" s="1" t="n">
        <v>2</v>
      </c>
      <c r="K40" s="1" t="n">
        <v>2</v>
      </c>
      <c r="L40" s="51" t="inlineStr"/>
      <c r="M40" s="50" t="inlineStr"/>
      <c r="N40" s="1" t="inlineStr"/>
      <c r="O40" s="1" t="inlineStr"/>
      <c r="P40" s="51" t="inlineStr"/>
    </row>
    <row r="41">
      <c r="A41" s="95" t="inlineStr">
        <is>
          <t>PLF04: DNS en DHCP</t>
        </is>
      </c>
      <c r="C41" t="inlineStr">
        <is>
          <t>op</t>
        </is>
      </c>
      <c r="F41" s="49">
        <f>IF(LEN(A41)&gt;0,MAX(G41:P41),"")</f>
        <v/>
      </c>
      <c r="G41" s="50" t="n">
        <v>2</v>
      </c>
      <c r="H41" s="1" t="inlineStr"/>
      <c r="I41" s="1" t="inlineStr"/>
      <c r="J41" s="1" t="n">
        <v>4</v>
      </c>
      <c r="K41" s="1" t="inlineStr"/>
      <c r="L41" s="51" t="inlineStr"/>
      <c r="M41" s="50" t="inlineStr"/>
      <c r="N41" s="1" t="inlineStr"/>
      <c r="O41" s="1" t="inlineStr"/>
      <c r="P41" s="51" t="inlineStr"/>
    </row>
    <row r="42">
      <c r="A42" s="95" t="inlineStr">
        <is>
          <t>NTW04: Routing concepts</t>
        </is>
      </c>
      <c r="C42" t="inlineStr">
        <is>
          <t>op</t>
        </is>
      </c>
      <c r="F42" s="49">
        <f>IF(LEN(A42)&gt;0,MAX(G42:P42),"")</f>
        <v/>
      </c>
      <c r="G42" s="50" t="n">
        <v>3</v>
      </c>
      <c r="H42" s="1" t="n">
        <v>3</v>
      </c>
      <c r="I42" s="1" t="n">
        <v>2</v>
      </c>
      <c r="J42" s="1" t="inlineStr"/>
      <c r="K42" s="1" t="inlineStr"/>
      <c r="L42" s="51" t="inlineStr"/>
      <c r="M42" s="50" t="inlineStr"/>
      <c r="N42" s="1" t="inlineStr"/>
      <c r="O42" s="1" t="inlineStr"/>
      <c r="P42" s="51" t="inlineStr"/>
    </row>
    <row r="43">
      <c r="A43" s="95" t="inlineStr">
        <is>
          <t>NTW05: Inter-VLAN routing</t>
        </is>
      </c>
      <c r="C43" t="inlineStr">
        <is>
          <t>op</t>
        </is>
      </c>
      <c r="F43" s="49">
        <f>IF(LEN(A43)&gt;0,MAX(G43:P43),"")</f>
        <v/>
      </c>
      <c r="G43" s="50" t="n">
        <v>4</v>
      </c>
      <c r="H43" s="1" t="n">
        <v>4</v>
      </c>
      <c r="I43" s="1" t="n">
        <v>2</v>
      </c>
      <c r="J43" s="1" t="inlineStr"/>
      <c r="K43" s="1" t="inlineStr"/>
      <c r="L43" s="51" t="inlineStr"/>
      <c r="M43" s="50" t="inlineStr"/>
      <c r="N43" s="1" t="inlineStr"/>
      <c r="O43" s="1" t="inlineStr"/>
      <c r="P43" s="51" t="inlineStr"/>
    </row>
    <row r="44">
      <c r="A44" s="95" t="inlineStr">
        <is>
          <t>PLF05: Linux storage</t>
        </is>
      </c>
      <c r="C44" t="inlineStr">
        <is>
          <t>op</t>
        </is>
      </c>
      <c r="F44" s="49">
        <f>IF(LEN(A44)&gt;0,MAX(G44:P44),"")</f>
        <v/>
      </c>
      <c r="G44" s="50" t="inlineStr"/>
      <c r="H44" s="1" t="inlineStr"/>
      <c r="I44" s="1" t="inlineStr"/>
      <c r="J44" s="1" t="n">
        <v>3</v>
      </c>
      <c r="K44" s="1" t="n">
        <v>2</v>
      </c>
      <c r="L44" s="51" t="inlineStr"/>
      <c r="M44" s="50" t="inlineStr"/>
      <c r="N44" s="1" t="inlineStr"/>
      <c r="O44" s="1" t="inlineStr"/>
      <c r="P44" s="51" t="inlineStr"/>
    </row>
    <row r="45" hidden="1" outlineLevel="1" s="84">
      <c r="A45" s="48" t="n"/>
      <c r="F45" s="49">
        <f>IF(LEN(A45)&gt;0,MAX(G45:P45),"")</f>
        <v/>
      </c>
      <c r="G45" s="50" t="n"/>
      <c r="H45" s="1" t="n"/>
      <c r="I45" s="1" t="n"/>
      <c r="J45" s="1" t="n"/>
      <c r="K45" s="1" t="n"/>
      <c r="L45" s="51" t="n"/>
      <c r="M45" s="50" t="n"/>
      <c r="N45" s="1" t="n"/>
      <c r="O45" s="1" t="n"/>
      <c r="P45" s="51" t="n"/>
    </row>
    <row r="46" hidden="1" outlineLevel="1" s="84">
      <c r="A46" s="48" t="n"/>
      <c r="F46" s="49">
        <f>IF(LEN(A46)&gt;0,MAX(G46:P46),"")</f>
        <v/>
      </c>
      <c r="G46" s="50" t="n"/>
      <c r="H46" s="1" t="n"/>
      <c r="I46" s="1" t="n"/>
      <c r="J46" s="1" t="n"/>
      <c r="K46" s="1" t="n"/>
      <c r="L46" s="51" t="n"/>
      <c r="M46" s="50" t="n"/>
      <c r="N46" s="1" t="n"/>
      <c r="O46" s="1" t="n"/>
      <c r="P46" s="51" t="n"/>
    </row>
    <row r="47" hidden="1" outlineLevel="1" s="84">
      <c r="A47" s="71" t="inlineStr">
        <is>
          <t>Peilmoment 1 - verplicht</t>
        </is>
      </c>
      <c r="B47" s="72" t="n"/>
      <c r="C47" s="72" t="n"/>
      <c r="D47" s="72" t="n"/>
      <c r="E47" s="72" t="n"/>
      <c r="F47" s="73" t="n"/>
      <c r="G47" s="52" t="n"/>
      <c r="H47" s="53" t="n"/>
      <c r="I47" s="53" t="n"/>
      <c r="J47" s="53" t="n"/>
      <c r="K47" s="53" t="n"/>
      <c r="L47" s="54" t="n"/>
      <c r="M47" s="52" t="n"/>
      <c r="N47" s="53" t="n"/>
      <c r="O47" s="53" t="n"/>
      <c r="P47" s="54" t="n"/>
    </row>
    <row r="48" hidden="1" outlineLevel="1" s="84">
      <c r="A48" s="48" t="n"/>
      <c r="F48" s="49">
        <f>IF(LEN(A48)&gt;0,MAX(G48:P48),"")</f>
        <v/>
      </c>
      <c r="G48" s="50" t="n"/>
      <c r="H48" s="1" t="n"/>
      <c r="I48" s="1" t="n"/>
      <c r="J48" s="1" t="n"/>
      <c r="K48" s="1" t="n"/>
      <c r="L48" s="51" t="n"/>
      <c r="M48" s="50" t="n"/>
      <c r="N48" s="1" t="n"/>
      <c r="O48" s="1" t="n"/>
      <c r="P48" s="51" t="n"/>
    </row>
    <row r="49" hidden="1" outlineLevel="1" s="84">
      <c r="A49" s="48" t="inlineStr">
        <is>
          <t>Inleveren Verantwoordingsdocument peilmoment 1 - eerste inlevering</t>
        </is>
      </c>
      <c r="F49" s="49">
        <f>IF(LEN(A49)&gt;0,MAX(G49:P49),"")</f>
        <v/>
      </c>
      <c r="G49" s="50" t="inlineStr"/>
      <c r="H49" s="1" t="inlineStr"/>
      <c r="I49" s="1" t="inlineStr"/>
      <c r="J49" s="1" t="inlineStr"/>
      <c r="K49" s="1" t="inlineStr"/>
      <c r="L49" s="51" t="inlineStr"/>
      <c r="M49" s="50" t="inlineStr"/>
      <c r="N49" s="1" t="inlineStr"/>
      <c r="O49" s="1" t="n">
        <v>10</v>
      </c>
      <c r="P49" s="51" t="n">
        <v>10</v>
      </c>
    </row>
    <row r="50" hidden="1" outlineLevel="1" s="84">
      <c r="A50" s="95" t="inlineStr">
        <is>
          <t>NTW06: Troubleshooting</t>
        </is>
      </c>
      <c r="C50" t="inlineStr">
        <is>
          <t>op</t>
        </is>
      </c>
      <c r="F50" s="49">
        <f>IF(LEN(A50)&gt;0,MAX(G50:P50),"")</f>
        <v/>
      </c>
      <c r="G50" s="50" t="n">
        <v>4</v>
      </c>
      <c r="H50" s="1" t="inlineStr"/>
      <c r="I50" s="1" t="inlineStr"/>
      <c r="J50" s="1" t="inlineStr"/>
      <c r="K50" s="1" t="n">
        <v>4</v>
      </c>
      <c r="L50" s="51" t="inlineStr"/>
      <c r="M50" s="50" t="n">
        <v>4</v>
      </c>
      <c r="N50" s="1" t="inlineStr"/>
      <c r="O50" s="1" t="inlineStr"/>
      <c r="P50" s="51" t="n">
        <v>2</v>
      </c>
    </row>
    <row r="51" hidden="1" outlineLevel="1" s="84">
      <c r="A51" s="95" t="inlineStr">
        <is>
          <t>PROJ06: Wireshark</t>
        </is>
      </c>
      <c r="C51" t="inlineStr">
        <is>
          <t>niet-nagekeken</t>
        </is>
      </c>
      <c r="F51" s="49">
        <f>IF(LEN(A51)&gt;0,MAX(G51:P51),"")</f>
        <v/>
      </c>
      <c r="G51" s="50" t="n">
        <v>1</v>
      </c>
      <c r="H51" s="1" t="inlineStr"/>
      <c r="I51" s="1" t="inlineStr"/>
      <c r="J51" s="1" t="inlineStr"/>
      <c r="K51" s="1" t="n">
        <v>1</v>
      </c>
      <c r="L51" s="51" t="inlineStr"/>
      <c r="M51" s="50" t="n">
        <v>1</v>
      </c>
      <c r="N51" s="1" t="inlineStr"/>
      <c r="O51" s="1" t="inlineStr"/>
      <c r="P51" s="51" t="inlineStr"/>
    </row>
    <row r="52" hidden="1" outlineLevel="1" s="84">
      <c r="A52" s="95" t="inlineStr">
        <is>
          <t>NTW07: Transportlaag</t>
        </is>
      </c>
      <c r="C52" t="inlineStr">
        <is>
          <t>op</t>
        </is>
      </c>
      <c r="F52" s="49">
        <f>IF(LEN(A52)&gt;0,MAX(G52:P52),"")</f>
        <v/>
      </c>
      <c r="G52" s="50" t="n">
        <v>2</v>
      </c>
      <c r="H52" s="1" t="n">
        <v>2</v>
      </c>
      <c r="I52" s="1" t="n">
        <v>3</v>
      </c>
      <c r="J52" s="1" t="inlineStr"/>
      <c r="K52" s="1" t="inlineStr"/>
      <c r="L52" s="51" t="inlineStr"/>
      <c r="M52" s="50" t="inlineStr"/>
      <c r="N52" s="1" t="inlineStr"/>
      <c r="O52" s="1" t="inlineStr"/>
      <c r="P52" s="51" t="inlineStr"/>
    </row>
    <row r="53" hidden="1" outlineLevel="1" s="84">
      <c r="A53" s="95" t="inlineStr">
        <is>
          <t>PLF06: Inleiding systeembeveiliging</t>
        </is>
      </c>
      <c r="C53" t="inlineStr">
        <is>
          <t>niet-nagekeken</t>
        </is>
      </c>
      <c r="F53" s="49">
        <f>IF(LEN(A53)&gt;0,MAX(G53:P53),"")</f>
        <v/>
      </c>
      <c r="G53" s="50" t="inlineStr"/>
      <c r="H53" s="1" t="inlineStr"/>
      <c r="I53" s="1" t="inlineStr"/>
      <c r="J53" s="1" t="n">
        <v>2</v>
      </c>
      <c r="K53" s="1" t="n">
        <v>2</v>
      </c>
      <c r="L53" s="51" t="inlineStr"/>
      <c r="M53" s="50" t="inlineStr"/>
      <c r="N53" s="1" t="inlineStr"/>
      <c r="O53" s="1" t="inlineStr"/>
      <c r="P53" s="51" t="inlineStr"/>
    </row>
    <row r="54" hidden="1" outlineLevel="1" s="84">
      <c r="A54" s="95" t="inlineStr">
        <is>
          <t>PLF07: HTTP en SMB</t>
        </is>
      </c>
      <c r="C54" t="inlineStr">
        <is>
          <t>niet-nagekeken</t>
        </is>
      </c>
      <c r="F54" s="49">
        <f>IF(LEN(A54)&gt;0,MAX(G54:P54),"")</f>
        <v/>
      </c>
      <c r="G54" s="50" t="inlineStr"/>
      <c r="H54" s="1" t="inlineStr"/>
      <c r="I54" s="1" t="inlineStr"/>
      <c r="J54" s="1" t="n">
        <v>4</v>
      </c>
      <c r="K54" s="1" t="inlineStr"/>
      <c r="L54" s="51" t="inlineStr"/>
      <c r="M54" s="50" t="inlineStr"/>
      <c r="N54" s="1" t="inlineStr"/>
      <c r="O54" s="1" t="inlineStr"/>
      <c r="P54" s="51" t="n">
        <v>2</v>
      </c>
    </row>
    <row r="55" hidden="1" outlineLevel="1" s="84">
      <c r="A55" s="95" t="inlineStr">
        <is>
          <t>NTW08: IPv6</t>
        </is>
      </c>
      <c r="C55" t="inlineStr">
        <is>
          <t>op</t>
        </is>
      </c>
      <c r="F55" s="49">
        <f>IF(LEN(A55)&gt;0,MAX(G55:P55),"")</f>
        <v/>
      </c>
      <c r="G55" s="50" t="n">
        <v>3</v>
      </c>
      <c r="H55" s="1" t="inlineStr"/>
      <c r="I55" s="1" t="n">
        <v>2</v>
      </c>
      <c r="J55" s="1" t="inlineStr"/>
      <c r="K55" s="1" t="inlineStr"/>
      <c r="L55" s="51" t="inlineStr"/>
      <c r="M55" s="50" t="inlineStr"/>
      <c r="N55" s="1" t="inlineStr"/>
      <c r="O55" s="1" t="inlineStr"/>
      <c r="P55" s="51" t="n">
        <v>3</v>
      </c>
    </row>
    <row r="56" hidden="1" outlineLevel="1" s="84">
      <c r="A56" s="95" t="inlineStr">
        <is>
          <t>PLF08: Directory services deel 1</t>
        </is>
      </c>
      <c r="C56" t="inlineStr">
        <is>
          <t>niet-nagekeken</t>
        </is>
      </c>
      <c r="F56" s="49">
        <f>IF(LEN(A56)&gt;0,MAX(G56:P56),"")</f>
        <v/>
      </c>
      <c r="G56" s="50" t="inlineStr"/>
      <c r="H56" s="1" t="inlineStr"/>
      <c r="I56" s="1" t="inlineStr"/>
      <c r="J56" s="1" t="n">
        <v>4</v>
      </c>
      <c r="K56" s="1" t="n">
        <v>3</v>
      </c>
      <c r="L56" s="51" t="inlineStr"/>
      <c r="M56" s="50" t="inlineStr"/>
      <c r="N56" s="1" t="n">
        <v>2</v>
      </c>
      <c r="O56" s="1" t="inlineStr"/>
      <c r="P56" s="51" t="inlineStr"/>
    </row>
    <row r="57" hidden="1" outlineLevel="1" s="84">
      <c r="A57" s="48" t="inlineStr">
        <is>
          <t>NTW09: Static Routing</t>
        </is>
      </c>
      <c r="F57" s="49">
        <f>IF(LEN(A57)&gt;0,MAX(G57:P57),"")</f>
        <v/>
      </c>
      <c r="G57" s="50" t="inlineStr"/>
      <c r="H57" s="1" t="inlineStr"/>
      <c r="I57" s="1" t="n">
        <v>2</v>
      </c>
      <c r="J57" s="1" t="inlineStr"/>
      <c r="K57" s="1" t="inlineStr"/>
      <c r="L57" s="51" t="inlineStr"/>
      <c r="M57" s="50" t="inlineStr"/>
      <c r="N57" s="1" t="inlineStr"/>
      <c r="O57" s="1" t="inlineStr"/>
      <c r="P57" s="51" t="inlineStr"/>
    </row>
    <row r="58" hidden="1" outlineLevel="1" s="84">
      <c r="A58" s="48" t="inlineStr">
        <is>
          <t>PLF09: Directory services deel 2</t>
        </is>
      </c>
      <c r="F58" s="49">
        <f>IF(LEN(A58)&gt;0,MAX(G58:P58),"")</f>
        <v/>
      </c>
      <c r="G58" s="50" t="inlineStr"/>
      <c r="H58" s="1" t="inlineStr"/>
      <c r="I58" s="1" t="inlineStr"/>
      <c r="J58" s="1" t="n">
        <v>3</v>
      </c>
      <c r="K58" s="1" t="n">
        <v>2</v>
      </c>
      <c r="L58" s="51" t="inlineStr"/>
      <c r="M58" s="50" t="inlineStr"/>
      <c r="N58" s="1" t="inlineStr"/>
      <c r="O58" s="1" t="inlineStr"/>
      <c r="P58" s="51" t="inlineStr"/>
    </row>
    <row r="59" hidden="1" outlineLevel="1" s="84">
      <c r="A59" s="48" t="inlineStr">
        <is>
          <t>NTW10: Routing</t>
        </is>
      </c>
      <c r="F59" s="49">
        <f>IF(LEN(A59)&gt;0,MAX(G59:P59),"")</f>
        <v/>
      </c>
      <c r="G59" s="50" t="n">
        <v>2</v>
      </c>
      <c r="H59" s="1" t="inlineStr"/>
      <c r="I59" s="1" t="n">
        <v>4</v>
      </c>
      <c r="J59" s="1" t="inlineStr"/>
      <c r="K59" s="1" t="inlineStr"/>
      <c r="L59" s="51" t="inlineStr"/>
      <c r="M59" s="50" t="inlineStr"/>
      <c r="N59" s="1" t="inlineStr"/>
      <c r="O59" s="1" t="inlineStr"/>
      <c r="P59" s="51" t="inlineStr"/>
    </row>
    <row r="60" hidden="1" outlineLevel="1" s="84">
      <c r="A60" s="48" t="inlineStr">
        <is>
          <t>PLF10: Windows Group Policies</t>
        </is>
      </c>
      <c r="F60" s="49">
        <f>IF(LEN(A60)&gt;0,MAX(G60:P60),"")</f>
        <v/>
      </c>
      <c r="G60" s="50" t="inlineStr"/>
      <c r="H60" s="1" t="inlineStr"/>
      <c r="I60" s="1" t="inlineStr"/>
      <c r="J60" s="1" t="n">
        <v>2</v>
      </c>
      <c r="K60" s="1" t="inlineStr"/>
      <c r="L60" s="51" t="inlineStr"/>
      <c r="M60" s="50" t="n">
        <v>1</v>
      </c>
      <c r="N60" s="1" t="inlineStr"/>
      <c r="O60" s="1" t="inlineStr"/>
      <c r="P60" s="51" t="n">
        <v>1</v>
      </c>
    </row>
    <row r="61" hidden="1" outlineLevel="1" s="84">
      <c r="A61" s="95" t="inlineStr">
        <is>
          <t>PROJ05: Inleveren Teamcontract</t>
        </is>
      </c>
      <c r="C61" t="inlineStr">
        <is>
          <t>niet-nagekeken</t>
        </is>
      </c>
      <c r="F61" s="49">
        <f>IF(LEN(A61)&gt;0,MAX(G61:P61),"")</f>
        <v/>
      </c>
      <c r="G61" s="50" t="inlineStr"/>
      <c r="H61" s="1" t="inlineStr"/>
      <c r="I61" s="1" t="inlineStr"/>
      <c r="J61" s="1" t="inlineStr"/>
      <c r="K61" s="1" t="inlineStr"/>
      <c r="L61" s="51" t="inlineStr"/>
      <c r="M61" s="50" t="inlineStr"/>
      <c r="N61" s="1" t="n">
        <v>4</v>
      </c>
      <c r="O61" s="1" t="n">
        <v>4</v>
      </c>
      <c r="P61" s="51" t="inlineStr"/>
    </row>
    <row r="62" hidden="1" outlineLevel="1" s="84">
      <c r="A62" s="48" t="inlineStr">
        <is>
          <t>PROJS3: Planning Sprint 3</t>
        </is>
      </c>
      <c r="F62" s="49">
        <f>IF(LEN(A62)&gt;0,MAX(G62:P62),"")</f>
        <v/>
      </c>
      <c r="G62" s="50" t="inlineStr"/>
      <c r="H62" s="1" t="inlineStr"/>
      <c r="I62" s="1" t="inlineStr"/>
      <c r="J62" s="1" t="inlineStr"/>
      <c r="K62" s="1" t="inlineStr"/>
      <c r="L62" s="51" t="inlineStr"/>
      <c r="M62" s="50" t="inlineStr"/>
      <c r="N62" s="1" t="n">
        <v>4</v>
      </c>
      <c r="O62" s="1" t="n">
        <v>4</v>
      </c>
      <c r="P62" s="51" t="inlineStr"/>
    </row>
    <row r="63" hidden="1" outlineLevel="1" s="84">
      <c r="A63" s="48" t="inlineStr">
        <is>
          <t>PROJS3: Sprint Review en Retrospective Sprint 3</t>
        </is>
      </c>
      <c r="F63" s="49">
        <f>IF(LEN(A63)&gt;0,MAX(G63:P63),"")</f>
        <v/>
      </c>
      <c r="G63" s="50" t="inlineStr"/>
      <c r="H63" s="1" t="inlineStr"/>
      <c r="I63" s="1" t="inlineStr"/>
      <c r="J63" s="1" t="inlineStr"/>
      <c r="K63" s="1" t="inlineStr"/>
      <c r="L63" s="51" t="n">
        <v>4</v>
      </c>
      <c r="M63" s="50" t="inlineStr"/>
      <c r="N63" s="1" t="inlineStr"/>
      <c r="O63" s="1" t="n">
        <v>4</v>
      </c>
      <c r="P63" s="51" t="n">
        <v>4</v>
      </c>
    </row>
    <row r="64" hidden="1" outlineLevel="1" s="84">
      <c r="A64" s="48" t="inlineStr">
        <is>
          <t>PROJS3: Opdracht ip-plan, VYOS router en DHCP server</t>
        </is>
      </c>
      <c r="F64" s="49">
        <f>IF(LEN(A64)&gt;0,MAX(G64:P64),"")</f>
        <v/>
      </c>
      <c r="G64" s="50" t="n">
        <v>4</v>
      </c>
      <c r="H64" s="1" t="n">
        <v>4</v>
      </c>
      <c r="I64" s="1" t="n">
        <v>4</v>
      </c>
      <c r="J64" s="1" t="n">
        <v>4</v>
      </c>
      <c r="K64" s="1" t="n">
        <v>4</v>
      </c>
      <c r="L64" s="51" t="n">
        <v>4</v>
      </c>
      <c r="M64" s="50" t="n">
        <v>4</v>
      </c>
      <c r="N64" s="1" t="n">
        <v>4</v>
      </c>
      <c r="O64" s="1" t="n">
        <v>4</v>
      </c>
      <c r="P64" s="51" t="n">
        <v>4</v>
      </c>
    </row>
    <row r="65" hidden="1" outlineLevel="1" s="84">
      <c r="A65" s="48" t="inlineStr">
        <is>
          <t>PROJS4: Planning Sprint 4</t>
        </is>
      </c>
      <c r="F65" s="49">
        <f>IF(LEN(A65)&gt;0,MAX(G65:P65),"")</f>
        <v/>
      </c>
      <c r="G65" s="50" t="inlineStr"/>
      <c r="H65" s="1" t="inlineStr"/>
      <c r="I65" s="1" t="inlineStr"/>
      <c r="J65" s="1" t="inlineStr"/>
      <c r="K65" s="1" t="inlineStr"/>
      <c r="L65" s="51" t="inlineStr"/>
      <c r="M65" s="50" t="inlineStr"/>
      <c r="N65" s="1" t="n">
        <v>4</v>
      </c>
      <c r="O65" s="1" t="n">
        <v>4</v>
      </c>
      <c r="P65" s="51" t="inlineStr"/>
    </row>
    <row r="66" hidden="1" outlineLevel="1" s="84">
      <c r="A66" s="48" t="n"/>
      <c r="F66" s="49">
        <f>IF(LEN(A66)&gt;0,MAX(G66:P66),"")</f>
        <v/>
      </c>
      <c r="G66" s="50" t="n"/>
      <c r="H66" s="1" t="n"/>
      <c r="I66" s="1" t="n"/>
      <c r="J66" s="1" t="n"/>
      <c r="K66" s="1" t="n"/>
      <c r="L66" s="51" t="n"/>
      <c r="M66" s="50" t="n"/>
      <c r="N66" s="1" t="n"/>
      <c r="O66" s="1" t="n"/>
      <c r="P66" s="51" t="n"/>
    </row>
    <row r="67" hidden="1" outlineLevel="1" s="84">
      <c r="A67" s="48" t="n"/>
      <c r="F67" s="49">
        <f>IF(LEN(A67)&gt;0,MAX(G67:P67),"")</f>
        <v/>
      </c>
      <c r="G67" s="50" t="n"/>
      <c r="H67" s="1" t="n"/>
      <c r="I67" s="1" t="n"/>
      <c r="J67" s="1" t="n"/>
      <c r="K67" s="1" t="n"/>
      <c r="L67" s="51" t="n"/>
      <c r="M67" s="50" t="n"/>
      <c r="N67" s="1" t="n"/>
      <c r="O67" s="1" t="n"/>
      <c r="P67" s="51" t="n"/>
    </row>
    <row r="68" hidden="1" outlineLevel="1" s="84">
      <c r="A68" s="71" t="inlineStr">
        <is>
          <t>Peilmoment 2 - verplicht</t>
        </is>
      </c>
      <c r="B68" s="72" t="n"/>
      <c r="C68" s="72" t="n"/>
      <c r="D68" s="72" t="n"/>
      <c r="E68" s="72" t="n"/>
      <c r="F68" s="73" t="n"/>
      <c r="G68" s="52" t="n"/>
      <c r="H68" s="53" t="n"/>
      <c r="I68" s="53" t="n"/>
      <c r="J68" s="53" t="n"/>
      <c r="K68" s="53" t="n"/>
      <c r="L68" s="54" t="n"/>
      <c r="M68" s="52" t="n"/>
      <c r="N68" s="53" t="n"/>
      <c r="O68" s="53" t="n"/>
      <c r="P68" s="54" t="n"/>
    </row>
    <row r="69" hidden="1" outlineLevel="1" s="84">
      <c r="A69" s="48" t="n"/>
      <c r="F69" s="49">
        <f>IF(LEN(A69)&gt;0,MAX(G69:P69),"")</f>
        <v/>
      </c>
      <c r="G69" s="50" t="n"/>
      <c r="H69" s="1" t="n"/>
      <c r="I69" s="1" t="n"/>
      <c r="J69" s="1" t="n"/>
      <c r="K69" s="1" t="n"/>
      <c r="L69" s="51" t="n"/>
      <c r="M69" s="50" t="n"/>
      <c r="N69" s="1" t="n"/>
      <c r="O69" s="1" t="n"/>
      <c r="P69" s="51" t="n"/>
    </row>
    <row r="70" hidden="1" outlineLevel="1" s="84">
      <c r="A70" s="48" t="n"/>
      <c r="F70" s="49">
        <f>IF(LEN(A70)&gt;0,MAX(G70:P70),"")</f>
        <v/>
      </c>
      <c r="G70" s="50" t="n"/>
      <c r="H70" s="1" t="n"/>
      <c r="I70" s="1" t="n"/>
      <c r="J70" s="1" t="n"/>
      <c r="K70" s="1" t="n"/>
      <c r="L70" s="51" t="n"/>
      <c r="M70" s="50" t="n"/>
      <c r="N70" s="1" t="n"/>
      <c r="O70" s="1" t="n"/>
      <c r="P70" s="51" t="n"/>
    </row>
    <row r="71" hidden="1" outlineLevel="1" s="84">
      <c r="A71" s="48" t="inlineStr">
        <is>
          <t>Inleveren Verantwoordingsdocument peilmoment 2 - eerste inlevering</t>
        </is>
      </c>
      <c r="F71" s="49">
        <f>IF(LEN(A71)&gt;0,MAX(G71:P71),"")</f>
        <v/>
      </c>
      <c r="G71" s="50" t="inlineStr"/>
      <c r="H71" s="1" t="inlineStr"/>
      <c r="I71" s="1" t="inlineStr"/>
      <c r="J71" s="1" t="inlineStr"/>
      <c r="K71" s="1" t="inlineStr"/>
      <c r="L71" s="51" t="inlineStr"/>
      <c r="M71" s="50" t="inlineStr"/>
      <c r="N71" s="1" t="inlineStr"/>
      <c r="O71" s="1" t="inlineStr"/>
      <c r="P71" s="51" t="inlineStr"/>
    </row>
    <row r="72" hidden="1" outlineLevel="1" s="84">
      <c r="A72" s="48" t="inlineStr">
        <is>
          <t>NTW11: OSPF en ACLs</t>
        </is>
      </c>
      <c r="F72" s="49">
        <f>IF(LEN(A72)&gt;0,MAX(G72:P72),"")</f>
        <v/>
      </c>
      <c r="G72" s="50" t="n">
        <v>1</v>
      </c>
      <c r="H72" s="1" t="n">
        <v>2</v>
      </c>
      <c r="I72" s="1" t="n">
        <v>4</v>
      </c>
      <c r="J72" s="1" t="inlineStr"/>
      <c r="K72" s="1" t="inlineStr"/>
      <c r="L72" s="51" t="inlineStr"/>
      <c r="M72" s="50" t="inlineStr"/>
      <c r="N72" s="1" t="inlineStr"/>
      <c r="O72" s="1" t="inlineStr"/>
      <c r="P72" s="51" t="n">
        <v>3</v>
      </c>
    </row>
    <row r="73" hidden="1" outlineLevel="1" s="84">
      <c r="A73" s="48" t="inlineStr">
        <is>
          <t>PLF11: Windows systeembeveiliging en PKI</t>
        </is>
      </c>
      <c r="F73" s="49">
        <f>IF(LEN(A73)&gt;0,MAX(G73:P73),"")</f>
        <v/>
      </c>
      <c r="G73" s="50" t="inlineStr"/>
      <c r="H73" s="1" t="inlineStr"/>
      <c r="I73" s="1" t="inlineStr"/>
      <c r="J73" s="1" t="n">
        <v>5</v>
      </c>
      <c r="K73" s="1" t="n">
        <v>2</v>
      </c>
      <c r="L73" s="51" t="inlineStr"/>
      <c r="M73" s="50" t="n">
        <v>2</v>
      </c>
      <c r="N73" s="1" t="inlineStr"/>
      <c r="O73" s="1" t="inlineStr"/>
      <c r="P73" s="51" t="n">
        <v>5</v>
      </c>
    </row>
    <row r="74" hidden="1" outlineLevel="1" s="84">
      <c r="A74" s="48" t="inlineStr">
        <is>
          <t>NTW12: NAT</t>
        </is>
      </c>
      <c r="F74" s="49">
        <f>IF(LEN(A74)&gt;0,MAX(G74:P74),"")</f>
        <v/>
      </c>
      <c r="G74" s="50" t="n">
        <v>2</v>
      </c>
      <c r="H74" s="1" t="n">
        <v>2</v>
      </c>
      <c r="I74" s="1" t="n">
        <v>5</v>
      </c>
      <c r="J74" s="1" t="inlineStr"/>
      <c r="K74" s="1" t="inlineStr"/>
      <c r="L74" s="51" t="inlineStr"/>
      <c r="M74" s="50" t="n">
        <v>2</v>
      </c>
      <c r="N74" s="1" t="inlineStr"/>
      <c r="O74" s="1" t="inlineStr"/>
      <c r="P74" s="51" t="n">
        <v>4</v>
      </c>
    </row>
    <row r="75" hidden="1" outlineLevel="1" s="84">
      <c r="A75" s="48" t="inlineStr">
        <is>
          <t>PLF12: Virtual Private Networking</t>
        </is>
      </c>
      <c r="F75" s="49">
        <f>IF(LEN(A75)&gt;0,MAX(G75:P75),"")</f>
        <v/>
      </c>
      <c r="G75" s="50" t="inlineStr"/>
      <c r="H75" s="1" t="inlineStr"/>
      <c r="I75" s="1" t="inlineStr"/>
      <c r="J75" s="1" t="n">
        <v>4</v>
      </c>
      <c r="K75" s="1" t="n">
        <v>2</v>
      </c>
      <c r="L75" s="51" t="inlineStr"/>
      <c r="M75" s="50" t="n">
        <v>2</v>
      </c>
      <c r="N75" s="1" t="inlineStr"/>
      <c r="O75" s="1" t="inlineStr"/>
      <c r="P75" s="51" t="inlineStr"/>
    </row>
    <row r="76" hidden="1" outlineLevel="1" s="84">
      <c r="A76" s="48" t="inlineStr">
        <is>
          <t>PROJS4: Sprint Review en Retrospective Sprint 4</t>
        </is>
      </c>
      <c r="F76" s="49">
        <f>IF(LEN(A76)&gt;0,MAX(G76:P76),"")</f>
        <v/>
      </c>
      <c r="G76" s="50" t="inlineStr"/>
      <c r="H76" s="1" t="inlineStr"/>
      <c r="I76" s="1" t="inlineStr"/>
      <c r="J76" s="1" t="inlineStr"/>
      <c r="K76" s="1" t="inlineStr"/>
      <c r="L76" s="51" t="n">
        <v>4</v>
      </c>
      <c r="M76" s="50" t="inlineStr"/>
      <c r="N76" s="1" t="inlineStr"/>
      <c r="O76" s="1" t="n">
        <v>4</v>
      </c>
      <c r="P76" s="51" t="n">
        <v>4</v>
      </c>
    </row>
    <row r="77" hidden="1" outlineLevel="1" s="84">
      <c r="A77" s="48" t="inlineStr">
        <is>
          <t>PROJS4: Opdracht DHCP relay, DNS forward en Reverse, Inter-site WAN</t>
        </is>
      </c>
      <c r="F77" s="49">
        <f>IF(LEN(A77)&gt;0,MAX(G77:P77),"")</f>
        <v/>
      </c>
      <c r="G77" s="50" t="n">
        <v>5</v>
      </c>
      <c r="H77" s="1" t="n">
        <v>5</v>
      </c>
      <c r="I77" s="1" t="n">
        <v>5</v>
      </c>
      <c r="J77" s="1" t="n">
        <v>5</v>
      </c>
      <c r="K77" s="1" t="n">
        <v>5</v>
      </c>
      <c r="L77" s="51" t="n">
        <v>5</v>
      </c>
      <c r="M77" s="50" t="n">
        <v>5</v>
      </c>
      <c r="N77" s="1" t="n">
        <v>5</v>
      </c>
      <c r="O77" s="1" t="n">
        <v>5</v>
      </c>
      <c r="P77" s="51" t="n">
        <v>5</v>
      </c>
    </row>
    <row r="78" hidden="1" outlineLevel="1" s="84">
      <c r="A78" s="48" t="inlineStr">
        <is>
          <t>PROJS5: Planning Sprint 5</t>
        </is>
      </c>
      <c r="F78" s="49">
        <f>IF(LEN(A78)&gt;0,MAX(G78:P78),"")</f>
        <v/>
      </c>
      <c r="G78" s="50" t="inlineStr"/>
      <c r="H78" s="1" t="inlineStr"/>
      <c r="I78" s="1" t="inlineStr"/>
      <c r="J78" s="1" t="inlineStr"/>
      <c r="K78" s="1" t="inlineStr"/>
      <c r="L78" s="51" t="inlineStr"/>
      <c r="M78" s="50" t="inlineStr"/>
      <c r="N78" s="1" t="n">
        <v>4</v>
      </c>
      <c r="O78" s="1" t="n">
        <v>4</v>
      </c>
      <c r="P78" s="51" t="inlineStr"/>
    </row>
    <row r="79" hidden="1" outlineLevel="1" s="84">
      <c r="A79" s="48" t="inlineStr">
        <is>
          <t>PROJS5: Sprint Review en Retrospective Sprint 5</t>
        </is>
      </c>
      <c r="F79" s="49">
        <f>IF(LEN(A79)&gt;0,MAX(G79:P79),"")</f>
        <v/>
      </c>
      <c r="G79" s="50" t="inlineStr"/>
      <c r="H79" s="1" t="inlineStr"/>
      <c r="I79" s="1" t="inlineStr"/>
      <c r="J79" s="1" t="inlineStr"/>
      <c r="K79" s="1" t="inlineStr"/>
      <c r="L79" s="51" t="n">
        <v>4</v>
      </c>
      <c r="M79" s="50" t="inlineStr"/>
      <c r="N79" s="1" t="inlineStr"/>
      <c r="O79" s="1" t="n">
        <v>4</v>
      </c>
      <c r="P79" s="51" t="n">
        <v>4</v>
      </c>
    </row>
    <row r="80" hidden="1" outlineLevel="1" s="84">
      <c r="A80" s="48" t="inlineStr">
        <is>
          <t>PROJS5: Opdracht - Wordt nog uitgewerkt</t>
        </is>
      </c>
      <c r="F80" s="49">
        <f>IF(LEN(A80)&gt;0,MAX(G80:P80),"")</f>
        <v/>
      </c>
      <c r="G80" s="50" t="inlineStr"/>
      <c r="H80" s="1" t="inlineStr"/>
      <c r="I80" s="1" t="inlineStr"/>
      <c r="J80" s="1" t="inlineStr"/>
      <c r="K80" s="1" t="inlineStr"/>
      <c r="L80" s="51" t="inlineStr"/>
      <c r="M80" s="50" t="inlineStr"/>
      <c r="N80" s="1" t="inlineStr"/>
      <c r="O80" s="1" t="inlineStr"/>
      <c r="P80" s="51" t="inlineStr"/>
    </row>
    <row r="81" hidden="1" outlineLevel="1" s="84">
      <c r="A81" s="48" t="inlineStr">
        <is>
          <t>PROJS6: Planning Sprint 6</t>
        </is>
      </c>
      <c r="F81" s="49">
        <f>IF(LEN(A81)&gt;0,MAX(G81:P81),"")</f>
        <v/>
      </c>
      <c r="G81" s="50" t="inlineStr"/>
      <c r="H81" s="1" t="inlineStr"/>
      <c r="I81" s="1" t="inlineStr"/>
      <c r="J81" s="1" t="inlineStr"/>
      <c r="K81" s="1" t="inlineStr"/>
      <c r="L81" s="51" t="inlineStr"/>
      <c r="M81" s="50" t="inlineStr"/>
      <c r="N81" s="1" t="n">
        <v>4</v>
      </c>
      <c r="O81" s="1" t="n">
        <v>4</v>
      </c>
      <c r="P81" s="51" t="inlineStr"/>
    </row>
    <row r="82" hidden="1" outlineLevel="1" s="84">
      <c r="A82" s="48" t="inlineStr">
        <is>
          <t>PROJS6: Sprint Review en Retrospective Sprint 6</t>
        </is>
      </c>
      <c r="F82" s="49">
        <f>IF(LEN(A82)&gt;0,MAX(G82:P82),"")</f>
        <v/>
      </c>
      <c r="G82" s="50" t="inlineStr"/>
      <c r="H82" s="1" t="inlineStr"/>
      <c r="I82" s="1" t="inlineStr"/>
      <c r="J82" s="1" t="inlineStr"/>
      <c r="K82" s="1" t="inlineStr"/>
      <c r="L82" s="51" t="n">
        <v>4</v>
      </c>
      <c r="M82" s="50" t="inlineStr"/>
      <c r="N82" s="1" t="inlineStr"/>
      <c r="O82" s="1" t="n">
        <v>4</v>
      </c>
      <c r="P82" s="51" t="n">
        <v>4</v>
      </c>
    </row>
    <row r="83" hidden="1" outlineLevel="1" s="84">
      <c r="A83" s="48" t="inlineStr">
        <is>
          <t>PROJS6: Opdracht - Wordt nog uitgewerkt</t>
        </is>
      </c>
      <c r="F83" s="49">
        <f>IF(LEN(A83)&gt;0,MAX(G83:P83),"")</f>
        <v/>
      </c>
      <c r="G83" s="50" t="inlineStr"/>
      <c r="H83" s="1" t="inlineStr"/>
      <c r="I83" s="1" t="inlineStr"/>
      <c r="J83" s="1" t="inlineStr"/>
      <c r="K83" s="1" t="inlineStr"/>
      <c r="L83" s="51" t="inlineStr"/>
      <c r="M83" s="50" t="inlineStr"/>
      <c r="N83" s="1" t="inlineStr"/>
      <c r="O83" s="1" t="inlineStr"/>
      <c r="P83" s="51" t="inlineStr"/>
    </row>
    <row r="84" hidden="1" outlineLevel="1" s="84">
      <c r="A84" s="48" t="n"/>
      <c r="F84" s="49">
        <f>IF(LEN(A84)&gt;0,MAX(G84:P84),"")</f>
        <v/>
      </c>
      <c r="G84" s="50" t="n"/>
      <c r="H84" s="1" t="n"/>
      <c r="I84" s="1" t="n"/>
      <c r="J84" s="1" t="n"/>
      <c r="K84" s="1" t="n"/>
      <c r="L84" s="51" t="n"/>
      <c r="M84" s="50" t="n"/>
      <c r="N84" s="1" t="n"/>
      <c r="O84" s="1" t="n"/>
      <c r="P84" s="51" t="n"/>
    </row>
    <row r="85" collapsed="1" s="84">
      <c r="A85" s="48" t="n"/>
      <c r="F85" s="49">
        <f>IF(LEN(A85)&gt;0,MAX(G85:P85),"")</f>
        <v/>
      </c>
      <c r="G85" s="50" t="n"/>
      <c r="H85" s="1" t="n"/>
      <c r="I85" s="1" t="n"/>
      <c r="J85" s="1" t="n"/>
      <c r="K85" s="1" t="n"/>
      <c r="L85" s="51" t="n"/>
      <c r="M85" s="50" t="n"/>
      <c r="N85" s="1" t="n"/>
      <c r="O85" s="1" t="n"/>
      <c r="P85" s="51" t="n"/>
    </row>
    <row r="86">
      <c r="A86" s="74" t="inlineStr">
        <is>
          <t>Toetsen</t>
        </is>
      </c>
      <c r="F86" s="49" t="n"/>
      <c r="G86" s="50" t="n"/>
      <c r="H86" s="1" t="n"/>
      <c r="I86" s="1" t="n"/>
      <c r="J86" s="1" t="n"/>
      <c r="K86" s="1" t="n"/>
      <c r="L86" s="51" t="n"/>
      <c r="M86" s="50" t="n"/>
      <c r="N86" s="1" t="n"/>
      <c r="O86" s="1" t="n"/>
      <c r="P86" s="51" t="n"/>
    </row>
    <row r="87" customFormat="1" s="20">
      <c r="A87" s="95" t="inlineStr">
        <is>
          <t>P1-NTW</t>
        </is>
      </c>
      <c r="C87" t="inlineStr">
        <is>
          <t>op</t>
        </is>
      </c>
      <c r="F87" s="49">
        <f>IF(LEN(A87)&gt;0,MAX(G87:P87),"")</f>
        <v/>
      </c>
      <c r="G87" s="50" t="n"/>
      <c r="H87" s="1" t="n"/>
      <c r="I87" s="1" t="n">
        <v>10</v>
      </c>
      <c r="J87" s="1" t="n"/>
      <c r="K87" s="1" t="n">
        <v>7</v>
      </c>
      <c r="L87" s="51" t="n"/>
      <c r="M87" s="50" t="n">
        <v>7</v>
      </c>
      <c r="N87" s="1" t="n">
        <v>3</v>
      </c>
      <c r="O87" s="1" t="n"/>
      <c r="P87" s="51" t="n"/>
    </row>
    <row r="88" customFormat="1" s="20">
      <c r="A88" s="95" t="inlineStr">
        <is>
          <t>P1-PLF</t>
        </is>
      </c>
      <c r="C88" t="inlineStr">
        <is>
          <t>op</t>
        </is>
      </c>
      <c r="F88" s="49">
        <f>IF(LEN(A88)&gt;0,MAX(G88:P88),"")</f>
        <v/>
      </c>
      <c r="G88" s="50" t="n"/>
      <c r="H88" s="1" t="n"/>
      <c r="I88" s="1" t="n"/>
      <c r="J88" s="1" t="n">
        <v>10</v>
      </c>
      <c r="K88" s="1" t="n">
        <v>7</v>
      </c>
      <c r="L88" s="51" t="n"/>
      <c r="M88" s="50" t="n">
        <v>7</v>
      </c>
      <c r="N88" s="1" t="n"/>
      <c r="O88" s="1" t="n"/>
      <c r="P88" s="51" t="n"/>
    </row>
    <row r="89">
      <c r="A89" s="95" t="inlineStr">
        <is>
          <t>T1: PLF/NTW Theorietoets 1</t>
        </is>
      </c>
      <c r="C89">
        <f>IF(LEN(D89)=0,"",IF(_xlfn.NUMBERVALUE(D89)=0,"",IF(_xlfn.NUMBERVALUE(D89)&lt;5.5,"onder",IF(_xlfn.NUMBERVALUE(D89)&lt;8,"op","boven"))))</f>
        <v/>
      </c>
      <c r="D89" t="n">
        <v>9</v>
      </c>
      <c r="F89" s="49">
        <f>IF(LEN(A89)&gt;0,MAX(G89:P89),"")</f>
        <v/>
      </c>
      <c r="G89" s="50" t="n">
        <v>10</v>
      </c>
      <c r="H89" s="1" t="n"/>
      <c r="I89" s="1" t="n"/>
      <c r="J89" s="1" t="n"/>
      <c r="K89" s="1" t="n"/>
      <c r="L89" s="51" t="n"/>
      <c r="M89" s="50" t="n"/>
      <c r="N89" s="1" t="n"/>
      <c r="O89" s="1" t="n"/>
      <c r="P89" s="51" t="n">
        <v>10</v>
      </c>
    </row>
    <row r="90">
      <c r="A90" s="48" t="n"/>
      <c r="F90" s="49">
        <f>IF(LEN(A90)&gt;0,MAX(G90:P90),"")</f>
        <v/>
      </c>
      <c r="G90" s="50" t="n"/>
      <c r="H90" s="1" t="n"/>
      <c r="I90" s="1" t="n"/>
      <c r="J90" s="1" t="n"/>
      <c r="K90" s="1" t="n"/>
      <c r="L90" s="51" t="n"/>
      <c r="M90" s="50" t="n"/>
      <c r="N90" s="1" t="n"/>
      <c r="O90" s="1" t="n"/>
      <c r="P90" s="51" t="n"/>
    </row>
    <row r="91" hidden="1" outlineLevel="1" s="84">
      <c r="A91" s="71" t="inlineStr">
        <is>
          <t>Peilmoment 1 - toetsen</t>
        </is>
      </c>
      <c r="B91" s="72" t="n"/>
      <c r="C91" s="72" t="n"/>
      <c r="D91" s="72" t="n"/>
      <c r="E91" s="72" t="n"/>
      <c r="F91" s="73" t="n"/>
      <c r="G91" s="52" t="n"/>
      <c r="H91" s="53" t="n"/>
      <c r="I91" s="53" t="n"/>
      <c r="J91" s="53" t="n"/>
      <c r="K91" s="53" t="n"/>
      <c r="L91" s="54" t="n"/>
      <c r="M91" s="52" t="n"/>
      <c r="N91" s="53" t="n"/>
      <c r="O91" s="53" t="n"/>
      <c r="P91" s="54" t="n"/>
    </row>
    <row r="92" hidden="1" outlineLevel="1" s="84">
      <c r="A92" s="48" t="inlineStr">
        <is>
          <t>P2-NTW</t>
        </is>
      </c>
      <c r="F92" s="49">
        <f>IF(LEN(A92)&gt;0,MAX(G92:P92),"")</f>
        <v/>
      </c>
      <c r="G92" s="50" t="n"/>
      <c r="H92" s="1" t="n"/>
      <c r="I92" s="1" t="n">
        <v>10</v>
      </c>
      <c r="J92" s="1" t="n"/>
      <c r="K92" s="1" t="n">
        <v>7</v>
      </c>
      <c r="L92" s="51" t="n"/>
      <c r="M92" s="50" t="n">
        <v>7</v>
      </c>
      <c r="N92" s="1" t="n">
        <v>3</v>
      </c>
      <c r="O92" s="1" t="n"/>
      <c r="P92" s="51" t="n"/>
    </row>
    <row r="93" hidden="1" outlineLevel="1" s="84">
      <c r="A93" s="48" t="inlineStr">
        <is>
          <t>P2-PLF</t>
        </is>
      </c>
      <c r="F93" s="49">
        <f>IF(LEN(A93)&gt;0,MAX(G93:P93),"")</f>
        <v/>
      </c>
      <c r="G93" s="50" t="n"/>
      <c r="H93" s="1" t="n"/>
      <c r="I93" s="1" t="n"/>
      <c r="J93" s="1" t="n">
        <v>10</v>
      </c>
      <c r="K93" s="1" t="n">
        <v>7</v>
      </c>
      <c r="L93" s="51" t="n"/>
      <c r="M93" s="50" t="n">
        <v>7</v>
      </c>
      <c r="N93" s="1" t="n"/>
      <c r="O93" s="1" t="n"/>
      <c r="P93" s="51" t="n"/>
    </row>
    <row r="94" hidden="1" outlineLevel="1" s="84">
      <c r="A94" s="48" t="inlineStr">
        <is>
          <t>T2: PLF/NTW Theorietoets 2</t>
        </is>
      </c>
      <c r="C94">
        <f>IF(LEN(D94)=0,"",IF(_xlfn.NUMBERVALUE(D94)=0,"",IF(_xlfn.NUMBERVALUE(D94)&lt;5.5,"onder",IF(_xlfn.NUMBERVALUE(D94)&lt;8,"op","boven"))))</f>
        <v/>
      </c>
      <c r="F94" s="49">
        <f>IF(LEN(A94)&gt;0,MAX(G94:P94),"")</f>
        <v/>
      </c>
      <c r="G94" s="50" t="n">
        <v>10</v>
      </c>
      <c r="H94" s="1" t="n"/>
      <c r="I94" s="1" t="n"/>
      <c r="J94" s="1" t="n"/>
      <c r="K94" s="1" t="n"/>
      <c r="L94" s="51" t="n"/>
      <c r="M94" s="50" t="n"/>
      <c r="N94" s="1" t="n"/>
      <c r="O94" s="1" t="n"/>
      <c r="P94" s="51" t="n">
        <v>10</v>
      </c>
    </row>
    <row r="95" hidden="1" outlineLevel="1" s="84">
      <c r="A95" s="48" t="n"/>
      <c r="F95" s="49" t="n"/>
      <c r="G95" s="50" t="n"/>
      <c r="H95" s="1" t="n"/>
      <c r="I95" s="1" t="n"/>
      <c r="J95" s="1" t="n"/>
      <c r="K95" s="1" t="n"/>
      <c r="L95" s="51" t="n"/>
      <c r="M95" s="50" t="n"/>
      <c r="N95" s="1" t="n"/>
      <c r="O95" s="1" t="n"/>
      <c r="P95" s="51" t="n"/>
    </row>
    <row r="96" hidden="1" outlineLevel="1" s="84">
      <c r="A96" s="48" t="n"/>
      <c r="F96" s="49" t="n"/>
      <c r="G96" s="50" t="n"/>
      <c r="H96" s="1" t="n"/>
      <c r="I96" s="1" t="n"/>
      <c r="J96" s="1" t="n"/>
      <c r="K96" s="1" t="n"/>
      <c r="L96" s="51" t="n"/>
      <c r="M96" s="50" t="n"/>
      <c r="N96" s="1" t="n"/>
      <c r="O96" s="1" t="n"/>
      <c r="P96" s="51" t="n"/>
    </row>
    <row r="97" hidden="1" outlineLevel="1" s="84">
      <c r="A97" s="71" t="inlineStr">
        <is>
          <t>Peilmoment 2 - toetsen</t>
        </is>
      </c>
      <c r="B97" s="72" t="n"/>
      <c r="C97" s="72" t="n"/>
      <c r="D97" s="72" t="n"/>
      <c r="E97" s="72" t="n"/>
      <c r="F97" s="73" t="n"/>
      <c r="G97" s="52" t="n"/>
      <c r="H97" s="53" t="n"/>
      <c r="I97" s="53" t="n"/>
      <c r="J97" s="53" t="n"/>
      <c r="K97" s="53" t="n"/>
      <c r="L97" s="54" t="n"/>
      <c r="M97" s="52" t="n"/>
      <c r="N97" s="53" t="n"/>
      <c r="O97" s="53" t="n"/>
      <c r="P97" s="54" t="n"/>
    </row>
    <row r="98" hidden="1" outlineLevel="1" s="84">
      <c r="A98" s="48" t="inlineStr">
        <is>
          <t>P3-NTW</t>
        </is>
      </c>
      <c r="F98" s="49">
        <f>IF(LEN(A98)&gt;0,MAX(G98:P98),"")</f>
        <v/>
      </c>
      <c r="G98" s="50" t="n"/>
      <c r="H98" s="1" t="n"/>
      <c r="I98" s="1" t="n">
        <v>10</v>
      </c>
      <c r="J98" s="1" t="n"/>
      <c r="K98" s="1" t="n">
        <v>7</v>
      </c>
      <c r="L98" s="51" t="n"/>
      <c r="M98" s="50" t="n">
        <v>7</v>
      </c>
      <c r="N98" s="1" t="n">
        <v>3</v>
      </c>
      <c r="O98" s="1" t="n"/>
      <c r="P98" s="51" t="n"/>
    </row>
    <row r="99" hidden="1" outlineLevel="1" s="84">
      <c r="A99" s="48" t="inlineStr">
        <is>
          <t>P3-PLF</t>
        </is>
      </c>
      <c r="F99" s="49">
        <f>IF(LEN(A99)&gt;0,MAX(G99:P99),"")</f>
        <v/>
      </c>
      <c r="G99" s="50" t="n"/>
      <c r="H99" s="1" t="n"/>
      <c r="I99" s="1" t="n"/>
      <c r="J99" s="1" t="n">
        <v>10</v>
      </c>
      <c r="K99" s="1" t="n">
        <v>7</v>
      </c>
      <c r="L99" s="51" t="n"/>
      <c r="M99" s="50" t="n">
        <v>7</v>
      </c>
      <c r="N99" s="1" t="n"/>
      <c r="O99" s="1" t="n"/>
      <c r="P99" s="51" t="n"/>
    </row>
    <row r="100" hidden="1" outlineLevel="1" s="84">
      <c r="A100" s="48" t="inlineStr">
        <is>
          <t>T3: PLF/NTW Theorietoets 3</t>
        </is>
      </c>
      <c r="C100">
        <f>IF(LEN(D100)=0,"",IF(_xlfn.NUMBERVALUE(D100)=0,"",IF(_xlfn.NUMBERVALUE(D100)&lt;5.5,"onder",IF(_xlfn.NUMBERVALUE(D100)&lt;8,"op","boven"))))</f>
        <v/>
      </c>
      <c r="F100" s="49">
        <f>IF(LEN(A100)&gt;0,MAX(G100:P100),"")</f>
        <v/>
      </c>
      <c r="G100" s="50" t="n">
        <v>10</v>
      </c>
      <c r="H100" s="1" t="n"/>
      <c r="I100" s="1" t="n"/>
      <c r="J100" s="1" t="n"/>
      <c r="K100" s="1" t="n"/>
      <c r="L100" s="51" t="n"/>
      <c r="M100" s="50" t="n"/>
      <c r="N100" s="1" t="n"/>
      <c r="O100" s="1" t="n"/>
      <c r="P100" s="51" t="n">
        <v>10</v>
      </c>
    </row>
    <row r="101" hidden="1" outlineLevel="1" s="84">
      <c r="A101" s="75" t="inlineStr">
        <is>
          <t>Praktijk NTW totaal</t>
        </is>
      </c>
      <c r="F101" s="49">
        <f>IF(LEN(A101)&gt;0,MAX(G101:P101),"")</f>
        <v/>
      </c>
      <c r="G101" s="50" t="inlineStr"/>
      <c r="H101" s="1" t="inlineStr"/>
      <c r="I101" s="1" t="n">
        <v>30</v>
      </c>
      <c r="J101" s="1" t="inlineStr"/>
      <c r="K101" s="1" t="n">
        <v>20</v>
      </c>
      <c r="L101" s="51" t="inlineStr"/>
      <c r="M101" s="50" t="n">
        <v>20</v>
      </c>
      <c r="N101" s="1" t="n">
        <v>15</v>
      </c>
      <c r="O101" t="inlineStr"/>
      <c r="P101" s="51" t="inlineStr"/>
    </row>
    <row r="102" hidden="1" outlineLevel="1" s="84">
      <c r="A102" s="75" t="inlineStr">
        <is>
          <t>Praktijk PLF totaal</t>
        </is>
      </c>
      <c r="F102" s="49">
        <f>IF(LEN(A102)&gt;0,MAX(G102:P102),"")</f>
        <v/>
      </c>
      <c r="G102" s="50" t="inlineStr"/>
      <c r="H102" s="1" t="inlineStr"/>
      <c r="I102" s="1" t="inlineStr"/>
      <c r="J102" s="1" t="n">
        <v>30</v>
      </c>
      <c r="K102" s="1" t="n">
        <v>20</v>
      </c>
      <c r="L102" s="51" t="inlineStr"/>
      <c r="M102" s="50" t="n">
        <v>20</v>
      </c>
      <c r="N102" s="1" t="inlineStr"/>
      <c r="O102" t="inlineStr"/>
      <c r="P102" s="51" t="inlineStr"/>
    </row>
    <row r="103" hidden="1" outlineLevel="1" s="84">
      <c r="A103" s="75" t="inlineStr">
        <is>
          <t>Theorie totaal</t>
        </is>
      </c>
      <c r="F103" s="49">
        <f>IF(LEN(A103)&gt;0,MAX(G103:P103),"")</f>
        <v/>
      </c>
      <c r="G103" s="50" t="n">
        <v>30</v>
      </c>
      <c r="H103" s="1" t="n"/>
      <c r="I103" s="1" t="n"/>
      <c r="J103" s="1" t="n"/>
      <c r="K103" s="1" t="n"/>
      <c r="L103" s="51" t="n"/>
      <c r="M103" s="48" t="n"/>
      <c r="P103" s="51" t="n">
        <v>30</v>
      </c>
    </row>
    <row r="104" hidden="1" outlineLevel="1" s="84">
      <c r="A104" s="48" t="n"/>
      <c r="F104" s="49" t="n"/>
      <c r="G104" s="50" t="n"/>
      <c r="H104" s="1" t="n"/>
      <c r="I104" s="1" t="n"/>
      <c r="J104" s="1" t="n"/>
      <c r="K104" s="1" t="n"/>
      <c r="L104" s="51" t="n"/>
      <c r="M104" s="48" t="n"/>
      <c r="P104" s="51" t="n"/>
    </row>
    <row r="105" hidden="1" outlineLevel="1" s="84">
      <c r="A105" s="48" t="n"/>
      <c r="F105" s="49" t="n"/>
      <c r="G105" s="50" t="n"/>
      <c r="H105" s="1" t="n"/>
      <c r="I105" s="1" t="n"/>
      <c r="J105" s="1" t="n"/>
      <c r="K105" s="1" t="n"/>
      <c r="L105" s="51" t="n"/>
      <c r="M105" s="48" t="n"/>
      <c r="P105" s="51" t="n"/>
    </row>
    <row r="106" collapsed="1" s="84">
      <c r="A106" s="48" t="n"/>
      <c r="F106" s="49" t="n"/>
      <c r="G106" s="50" t="n"/>
      <c r="H106" s="1" t="n"/>
      <c r="I106" s="1" t="n"/>
      <c r="J106" s="1" t="n"/>
      <c r="K106" s="1" t="n"/>
      <c r="L106" s="51" t="n"/>
      <c r="M106" s="48" t="n"/>
      <c r="P106" s="51" t="n"/>
    </row>
    <row r="107">
      <c r="A107" s="70" t="inlineStr">
        <is>
          <t>Optionele portfolio items</t>
        </is>
      </c>
      <c r="F107" s="49" t="n"/>
      <c r="G107" s="50" t="n"/>
      <c r="H107" s="1" t="n"/>
      <c r="I107" s="1" t="n"/>
      <c r="J107" s="1" t="n"/>
      <c r="K107" s="1" t="n"/>
      <c r="L107" s="51" t="n"/>
      <c r="M107" s="48" t="n"/>
      <c r="P107" s="51" t="n"/>
    </row>
    <row r="108">
      <c r="A108" s="95" t="inlineStr">
        <is>
          <t>PROJ02: Inleiding Proxmox</t>
        </is>
      </c>
      <c r="C108" t="inlineStr">
        <is>
          <t>niet-nagekeken</t>
        </is>
      </c>
      <c r="F108" s="49">
        <f>IF(LEN(A108)&gt;0,MAX(G108:P108),"")</f>
        <v/>
      </c>
      <c r="G108" s="50" t="inlineStr"/>
      <c r="H108" s="1" t="inlineStr"/>
      <c r="I108" s="1" t="n">
        <v>3</v>
      </c>
      <c r="J108" s="1" t="n">
        <v>3</v>
      </c>
      <c r="K108" s="1" t="inlineStr"/>
      <c r="L108" s="51" t="inlineStr"/>
      <c r="M108" s="50" t="n">
        <v>2</v>
      </c>
      <c r="N108" s="1" t="inlineStr"/>
      <c r="O108" s="1" t="inlineStr"/>
      <c r="P108" s="51" t="n">
        <v>3</v>
      </c>
    </row>
    <row r="109">
      <c r="A109" s="48" t="inlineStr">
        <is>
          <t>PLF06: Pluggable Authentication Modules</t>
        </is>
      </c>
      <c r="F109" s="49">
        <f>IF(LEN(A109)&gt;0,MAX(G109:P109),"")</f>
        <v/>
      </c>
      <c r="G109" s="50" t="inlineStr"/>
      <c r="H109" s="1" t="inlineStr"/>
      <c r="I109" s="1" t="inlineStr"/>
      <c r="J109" s="1" t="n">
        <v>2</v>
      </c>
      <c r="K109" s="1" t="inlineStr"/>
      <c r="L109" s="51" t="inlineStr"/>
      <c r="M109" s="50" t="n">
        <v>2</v>
      </c>
      <c r="N109" s="1" t="inlineStr"/>
      <c r="O109" s="1" t="inlineStr"/>
      <c r="P109" s="51" t="n">
        <v>2</v>
      </c>
    </row>
    <row r="110">
      <c r="A110" s="48" t="inlineStr">
        <is>
          <t>PLF12: Dynamic Access Control</t>
        </is>
      </c>
      <c r="F110" s="49">
        <f>IF(LEN(A110)&gt;0,MAX(G110:P110),"")</f>
        <v/>
      </c>
      <c r="G110" s="50" t="inlineStr"/>
      <c r="H110" s="1" t="n">
        <v>3</v>
      </c>
      <c r="I110" s="1" t="inlineStr"/>
      <c r="J110" s="1" t="n">
        <v>3</v>
      </c>
      <c r="K110" s="1" t="inlineStr"/>
      <c r="L110" s="51" t="inlineStr"/>
      <c r="M110" s="50" t="n">
        <v>2</v>
      </c>
      <c r="N110" s="1" t="inlineStr"/>
      <c r="O110" s="1" t="inlineStr"/>
      <c r="P110" s="51" t="n">
        <v>2</v>
      </c>
    </row>
    <row r="111">
      <c r="A111" s="48" t="n"/>
      <c r="F111" s="49">
        <f>IF(LEN(A111)&gt;0,MAX(G111:P111),"")</f>
        <v/>
      </c>
      <c r="G111" s="50" t="n"/>
      <c r="H111" s="1" t="n"/>
      <c r="I111" s="1" t="n"/>
      <c r="J111" s="1" t="n"/>
      <c r="K111" s="1" t="n"/>
      <c r="L111" s="51" t="n"/>
      <c r="M111" s="50" t="n"/>
      <c r="N111" s="1" t="n"/>
      <c r="O111" s="1" t="n"/>
      <c r="P111" s="51" t="n"/>
    </row>
    <row r="112">
      <c r="A112" s="48" t="n"/>
      <c r="F112" s="49">
        <f>IF(LEN(A112)&gt;0,MAX(G112:P112),"")</f>
        <v/>
      </c>
      <c r="G112" s="50" t="n"/>
      <c r="H112" s="1" t="n"/>
      <c r="I112" s="1" t="n"/>
      <c r="J112" s="1" t="n"/>
      <c r="K112" s="1" t="n"/>
      <c r="L112" s="51" t="n"/>
      <c r="M112" s="50" t="n"/>
      <c r="N112" s="1" t="n"/>
      <c r="O112" s="1" t="n"/>
      <c r="P112" s="51" t="n"/>
    </row>
    <row r="113">
      <c r="A113" s="48" t="n"/>
      <c r="F113" s="49">
        <f>IF(LEN(A113)&gt;0,MAX(G113:P113),"")</f>
        <v/>
      </c>
      <c r="G113" s="50" t="n"/>
      <c r="H113" s="1" t="n"/>
      <c r="I113" s="1" t="n"/>
      <c r="J113" s="1" t="n"/>
      <c r="K113" s="1" t="n"/>
      <c r="L113" s="51" t="n"/>
      <c r="M113" s="50" t="n"/>
      <c r="N113" s="1" t="n"/>
      <c r="O113" s="1" t="n"/>
      <c r="P113" s="51" t="n"/>
    </row>
    <row r="114">
      <c r="A114" s="70" t="inlineStr">
        <is>
          <t>Alternatieve portfolio items</t>
        </is>
      </c>
      <c r="F114" s="49" t="n"/>
      <c r="G114" s="50" t="n"/>
      <c r="H114" s="1" t="n"/>
      <c r="I114" s="1" t="n"/>
      <c r="J114" s="1" t="n"/>
      <c r="K114" s="1" t="n"/>
      <c r="L114" s="51" t="n"/>
      <c r="M114" s="50" t="n"/>
      <c r="N114" s="1" t="n"/>
      <c r="O114" s="1" t="n"/>
      <c r="P114" s="51" t="n"/>
    </row>
    <row r="115">
      <c r="A115" s="48" t="n"/>
      <c r="F115" s="49">
        <f>IF(LEN(A115)&gt;0,MAX(G115:P115),"")</f>
        <v/>
      </c>
      <c r="G115" s="55" t="n"/>
      <c r="H115" s="56" t="n"/>
      <c r="I115" s="56" t="n"/>
      <c r="J115" s="56" t="n"/>
      <c r="K115" s="56" t="n"/>
      <c r="L115" s="57" t="n"/>
      <c r="M115" s="55" t="n"/>
      <c r="N115" s="56" t="n"/>
      <c r="O115" s="56" t="n"/>
      <c r="P115" s="57" t="n"/>
    </row>
    <row r="116">
      <c r="A116" s="48" t="n"/>
      <c r="F116" s="49">
        <f>IF(LEN(A116)&gt;0,MAX(G116:P116),"")</f>
        <v/>
      </c>
      <c r="G116" s="50" t="n"/>
      <c r="H116" s="1" t="n"/>
      <c r="I116" s="1" t="n"/>
      <c r="J116" s="1" t="n"/>
      <c r="K116" s="1" t="n"/>
      <c r="L116" s="51" t="n"/>
      <c r="M116" s="50" t="n"/>
      <c r="N116" s="1" t="n"/>
      <c r="O116" s="1" t="n"/>
      <c r="P116" s="51" t="n"/>
    </row>
    <row r="117">
      <c r="A117" s="48" t="n"/>
      <c r="F117" s="49">
        <f>IF(LEN(A117)&gt;0,MAX(G117:P117),"")</f>
        <v/>
      </c>
      <c r="G117" s="50" t="n"/>
      <c r="H117" s="1" t="n"/>
      <c r="I117" s="1" t="n"/>
      <c r="J117" s="1" t="n"/>
      <c r="K117" s="1" t="n"/>
      <c r="L117" s="51" t="n"/>
      <c r="M117" s="50" t="n"/>
      <c r="N117" s="1" t="n"/>
      <c r="O117" s="1" t="n"/>
      <c r="P117" s="51" t="n"/>
    </row>
    <row r="118">
      <c r="A118" s="48" t="n"/>
      <c r="F118" s="49">
        <f>IF(LEN(A118)&gt;0,MAX(G118:P118),"")</f>
        <v/>
      </c>
      <c r="G118" s="50" t="n"/>
      <c r="H118" s="1" t="n"/>
      <c r="I118" s="1" t="n"/>
      <c r="J118" s="1" t="n"/>
      <c r="K118" s="1" t="n"/>
      <c r="L118" s="51" t="n"/>
      <c r="M118" s="50" t="n"/>
      <c r="N118" s="1" t="n"/>
      <c r="O118" s="1" t="n"/>
      <c r="P118" s="51" t="n"/>
    </row>
    <row r="119">
      <c r="A119" s="48" t="n"/>
      <c r="F119" s="49">
        <f>IF(LEN(A119)&gt;0,MAX(G119:P119),"")</f>
        <v/>
      </c>
      <c r="G119" s="50" t="n"/>
      <c r="H119" s="1" t="n"/>
      <c r="I119" s="1" t="n"/>
      <c r="J119" s="1" t="n"/>
      <c r="K119" s="1" t="n"/>
      <c r="L119" s="51" t="n"/>
      <c r="M119" s="50" t="n"/>
      <c r="N119" s="1" t="n"/>
      <c r="O119" s="1" t="n"/>
      <c r="P119" s="51" t="n"/>
    </row>
    <row r="120">
      <c r="A120" s="74" t="inlineStr">
        <is>
          <t xml:space="preserve">Eigen </t>
        </is>
      </c>
      <c r="F120" s="49" t="n"/>
      <c r="G120" s="50" t="n"/>
      <c r="H120" s="1" t="n"/>
      <c r="I120" s="1" t="n"/>
      <c r="J120" s="1" t="n"/>
      <c r="K120" s="1" t="n"/>
      <c r="L120" s="51" t="n"/>
      <c r="M120" s="50" t="n"/>
      <c r="N120" s="1" t="n"/>
      <c r="O120" s="1" t="n"/>
      <c r="P120" s="51" t="n"/>
    </row>
    <row r="121">
      <c r="A121" s="48" t="inlineStr">
        <is>
          <t>Eigenportfolio item 1</t>
        </is>
      </c>
      <c r="F121" s="49">
        <f>IF(LEN(A121)&gt;0,MAX(G121:P121),"")</f>
        <v/>
      </c>
      <c r="G121" s="50" t="n"/>
      <c r="H121" s="1" t="n"/>
      <c r="I121" s="1" t="n"/>
      <c r="J121" s="1" t="n"/>
      <c r="K121" s="1" t="n"/>
      <c r="L121" s="51" t="n"/>
      <c r="M121" s="50" t="n"/>
      <c r="N121" s="1" t="n"/>
      <c r="O121" s="1" t="n"/>
      <c r="P121" s="51" t="n"/>
    </row>
    <row r="122">
      <c r="A122" s="48" t="inlineStr">
        <is>
          <t>Eigenportfolio item 2</t>
        </is>
      </c>
      <c r="F122" s="49">
        <f>IF(LEN(A122)&gt;0,MAX(G122:P122),"")</f>
        <v/>
      </c>
      <c r="G122" s="50" t="n"/>
      <c r="H122" s="1" t="n"/>
      <c r="I122" s="1" t="n"/>
      <c r="J122" s="1" t="n"/>
      <c r="K122" s="1" t="n"/>
      <c r="L122" s="51" t="n"/>
      <c r="M122" s="50" t="n"/>
      <c r="N122" s="1" t="n"/>
      <c r="O122" s="1" t="n"/>
      <c r="P122" s="51" t="n"/>
    </row>
    <row r="123">
      <c r="A123" s="48" t="inlineStr">
        <is>
          <t>Eigenportfolio item 3</t>
        </is>
      </c>
      <c r="F123" s="49">
        <f>IF(LEN(A123)&gt;0,MAX(G123:P123),"")</f>
        <v/>
      </c>
      <c r="G123" s="50" t="n"/>
      <c r="H123" s="1" t="n"/>
      <c r="I123" s="1" t="n"/>
      <c r="J123" s="1" t="n"/>
      <c r="K123" s="1" t="n"/>
      <c r="L123" s="51" t="n"/>
      <c r="M123" s="50" t="n"/>
      <c r="N123" s="1" t="n"/>
      <c r="O123" s="1" t="n"/>
      <c r="P123" s="51" t="n"/>
    </row>
    <row r="124">
      <c r="A124" s="48" t="n"/>
      <c r="F124" s="49">
        <f>IF(LEN(A124)&gt;0,MAX(G124:P124),"")</f>
        <v/>
      </c>
      <c r="G124" s="50" t="n"/>
      <c r="H124" s="1" t="n"/>
      <c r="I124" s="1" t="n"/>
      <c r="J124" s="1" t="n"/>
      <c r="K124" s="1" t="n"/>
      <c r="L124" s="51" t="n"/>
      <c r="M124" s="50" t="n"/>
      <c r="N124" s="1" t="n"/>
      <c r="O124" s="1" t="n"/>
      <c r="P124" s="51" t="n"/>
    </row>
    <row r="125">
      <c r="A125" s="76" t="n"/>
      <c r="B125" s="77" t="n"/>
      <c r="C125" s="77" t="n"/>
      <c r="D125" s="77" t="n"/>
      <c r="E125" s="77" t="n"/>
      <c r="F125" s="78">
        <f>IF(LEN(A125)&gt;0,MAX(G125:P125),"")</f>
        <v/>
      </c>
      <c r="G125" s="58" t="n"/>
      <c r="H125" s="59" t="n"/>
      <c r="I125" s="59" t="n"/>
      <c r="J125" s="59" t="n"/>
      <c r="K125" s="59" t="n"/>
      <c r="L125" s="60" t="n"/>
      <c r="M125" s="58" t="n"/>
      <c r="N125" s="59" t="n"/>
      <c r="O125" s="59" t="n"/>
      <c r="P125" s="60" t="n"/>
    </row>
    <row r="126">
      <c r="F126">
        <f>IF(LEN(A126)&gt;0,MAX(G126:P126),"")</f>
        <v/>
      </c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</row>
    <row r="127">
      <c r="F127">
        <f>IF(LEN(A127)&gt;0,MAX(G127:P127),"")</f>
        <v/>
      </c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</row>
    <row r="128">
      <c r="F128">
        <f>IF(LEN(A128)&gt;0,MAX(G128:P128),"")</f>
        <v/>
      </c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</row>
    <row r="129">
      <c r="F129">
        <f>IF(LEN(A129)&gt;0,MAX(G129:P129),"")</f>
        <v/>
      </c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</row>
    <row r="130">
      <c r="F130">
        <f>IF(LEN(A130)&gt;0,MAX(G130:P130),"")</f>
        <v/>
      </c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</row>
    <row r="131">
      <c r="F131">
        <f>IF(LEN(A131)&gt;0,MAX(G131:P131),"")</f>
        <v/>
      </c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</row>
    <row r="132"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</row>
    <row r="133"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</row>
    <row r="134"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</row>
    <row r="135"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</row>
    <row r="136"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</row>
    <row r="137"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</row>
    <row r="138"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</row>
    <row r="139"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</row>
    <row r="140"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</row>
    <row r="141"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</row>
    <row r="142"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</row>
    <row r="143"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</row>
  </sheetData>
  <mergeCells count="7">
    <mergeCell ref="C4:F4"/>
    <mergeCell ref="G4:J4"/>
    <mergeCell ref="M21:P21"/>
    <mergeCell ref="B25:B26"/>
    <mergeCell ref="K4:L4"/>
    <mergeCell ref="M4:N4"/>
    <mergeCell ref="G21:L21"/>
  </mergeCells>
  <conditionalFormatting sqref="C28">
    <cfRule type="cellIs" priority="22" operator="equal" dxfId="2">
      <formula>"boven"</formula>
    </cfRule>
    <cfRule type="cellIs" priority="23" operator="equal" dxfId="1">
      <formula>"op"</formula>
    </cfRule>
    <cfRule type="cellIs" priority="24" operator="equal" dxfId="0">
      <formula>"onder"</formula>
    </cfRule>
  </conditionalFormatting>
  <conditionalFormatting sqref="C35:C128">
    <cfRule type="cellIs" priority="25" operator="equal" dxfId="2">
      <formula>"boven"</formula>
    </cfRule>
    <cfRule type="cellIs" priority="26" operator="equal" dxfId="0">
      <formula>"onder"</formula>
    </cfRule>
    <cfRule type="cellIs" priority="27" operator="equal" dxfId="1">
      <formula>"op"</formula>
    </cfRule>
  </conditionalFormatting>
  <conditionalFormatting sqref="G28:P28">
    <cfRule type="cellIs" priority="19" operator="equal" dxfId="2">
      <formula>"boven"</formula>
    </cfRule>
    <cfRule type="cellIs" priority="20" operator="equal" dxfId="1">
      <formula>"op"</formula>
    </cfRule>
    <cfRule type="cellIs" priority="21" operator="equal" dxfId="0">
      <formula>"onder"</formula>
    </cfRule>
  </conditionalFormatting>
  <dataValidations disablePrompts="1" count="1">
    <dataValidation sqref="C6:N6" showDropDown="0" showInputMessage="1" showErrorMessage="1" allowBlank="1" type="list">
      <formula1>$A$29:$A$283</formula1>
    </dataValidation>
  </dataValidation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  <hyperlink xmlns:r="http://schemas.openxmlformats.org/officeDocument/2006/relationships" ref="A39" r:id="rId4"/>
    <hyperlink xmlns:r="http://schemas.openxmlformats.org/officeDocument/2006/relationships" ref="A40" r:id="rId5"/>
    <hyperlink xmlns:r="http://schemas.openxmlformats.org/officeDocument/2006/relationships" ref="A41" r:id="rId6"/>
    <hyperlink xmlns:r="http://schemas.openxmlformats.org/officeDocument/2006/relationships" ref="A42" r:id="rId7"/>
    <hyperlink xmlns:r="http://schemas.openxmlformats.org/officeDocument/2006/relationships" ref="A43" r:id="rId8"/>
    <hyperlink xmlns:r="http://schemas.openxmlformats.org/officeDocument/2006/relationships" ref="A44" r:id="rId9"/>
    <hyperlink xmlns:r="http://schemas.openxmlformats.org/officeDocument/2006/relationships" ref="A50" r:id="rId10"/>
    <hyperlink xmlns:r="http://schemas.openxmlformats.org/officeDocument/2006/relationships" ref="A51" r:id="rId11"/>
    <hyperlink xmlns:r="http://schemas.openxmlformats.org/officeDocument/2006/relationships" ref="A52" r:id="rId12"/>
    <hyperlink xmlns:r="http://schemas.openxmlformats.org/officeDocument/2006/relationships" ref="A53" r:id="rId13"/>
    <hyperlink xmlns:r="http://schemas.openxmlformats.org/officeDocument/2006/relationships" ref="A54" r:id="rId14"/>
    <hyperlink xmlns:r="http://schemas.openxmlformats.org/officeDocument/2006/relationships" ref="A55" r:id="rId15"/>
    <hyperlink xmlns:r="http://schemas.openxmlformats.org/officeDocument/2006/relationships" ref="A56" r:id="rId16"/>
    <hyperlink xmlns:r="http://schemas.openxmlformats.org/officeDocument/2006/relationships" ref="A61" r:id="rId17"/>
    <hyperlink xmlns:r="http://schemas.openxmlformats.org/officeDocument/2006/relationships" ref="A87" r:id="rId18"/>
    <hyperlink xmlns:r="http://schemas.openxmlformats.org/officeDocument/2006/relationships" ref="A88" r:id="rId19"/>
    <hyperlink xmlns:r="http://schemas.openxmlformats.org/officeDocument/2006/relationships" ref="A89" r:id="rId20"/>
    <hyperlink xmlns:r="http://schemas.openxmlformats.org/officeDocument/2006/relationships" ref="A108" r:id="rId21"/>
  </hyperlink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9"/>
  <sheetViews>
    <sheetView workbookViewId="0">
      <selection activeCell="G31" sqref="G31"/>
    </sheetView>
  </sheetViews>
  <sheetFormatPr baseColWidth="8" defaultRowHeight="15" customHeight="1"/>
  <cols>
    <col width="61" bestFit="1" customWidth="1" style="84" min="2" max="2"/>
    <col hidden="1" width="35.7109375" customWidth="1" style="84" min="3" max="3"/>
    <col width="10.5703125" bestFit="1" customWidth="1" style="1" min="4" max="4"/>
    <col width="11.85546875" bestFit="1" customWidth="1" style="84" min="5" max="5"/>
    <col width="13.85546875" customWidth="1" style="84" min="6" max="6"/>
    <col width="8.7109375" customWidth="1" style="84" min="7" max="11"/>
    <col width="19.28515625" customWidth="1" style="84" min="12" max="12"/>
  </cols>
  <sheetData>
    <row r="2" ht="15" customHeight="1" s="84">
      <c r="B2" s="2" t="inlineStr">
        <is>
          <t>idee hierbij:</t>
        </is>
      </c>
      <c r="C2" s="3" t="n"/>
      <c r="D2" s="5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5" customHeight="1" s="84">
      <c r="B3" s="3" t="inlineStr">
        <is>
          <t>Opdrachtgroepen in Canvas per sprint groeperen, da's meest natuurlijk en overzichtelijk</t>
        </is>
      </c>
      <c r="C3" s="3" t="n"/>
      <c r="D3" s="5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5" customHeight="1" s="84">
      <c r="B4" s="3" t="inlineStr">
        <is>
          <t>Als student en begeleider wil ik een overzicht per sprint (handig voor peilmoment en persoonlijke voortgang in de tijd)</t>
        </is>
      </c>
      <c r="C4" s="3" t="n"/>
      <c r="D4" s="5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15" customHeight="1" s="84">
      <c r="B5" s="3" t="inlineStr">
        <is>
          <t>Als beoordelaar en student wil ik een overall overzicht voor het beoordelingsmoment: waar sta ik in het totaal</t>
        </is>
      </c>
      <c r="C5" s="3" t="n"/>
      <c r="D5" s="5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15" customHeight="1" s="84">
      <c r="B6" s="3" t="inlineStr">
        <is>
          <t>Het moet heel eenvoudig te maken zijn (maar niet eenvoudiger)</t>
        </is>
      </c>
      <c r="C6" s="3" t="n"/>
      <c r="D6" s="5" t="n"/>
      <c r="E6" s="3" t="n"/>
      <c r="F6" s="3" t="n"/>
      <c r="G6" s="3" t="n"/>
      <c r="H6" s="3" t="n"/>
      <c r="I6" s="3" t="n"/>
      <c r="J6" s="3" t="n"/>
      <c r="K6" s="3" t="n"/>
      <c r="L6" s="3" t="n"/>
    </row>
    <row r="9" ht="15" customHeight="1" s="84">
      <c r="B9" s="2" t="inlineStr">
        <is>
          <t>Opmerkingen:</t>
        </is>
      </c>
      <c r="C9" s="3" t="n"/>
      <c r="D9" s="5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15" customHeight="1" s="84">
      <c r="B10" s="4" t="inlineStr">
        <is>
          <t>Student mag alles van de sprint inleveren + maximaal 1 opdrachten van de vorige sprint  van elk onderdeel (automation|cloud|netwerken|iot|project (anders niet te controleren))</t>
        </is>
      </c>
      <c r="C10" s="3" t="n"/>
      <c r="D10" s="5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15" customHeight="1" s="84">
      <c r="B11" s="3" t="inlineStr">
        <is>
          <t>Herhalingverdiepingsweek + beoordelingsweek is voor reparaties van eerdere sprints met een maximum van 3 per onderdeel</t>
        </is>
      </c>
      <c r="C11" s="3" t="n"/>
      <c r="D11" s="5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15" customHeight="1" s="84">
      <c r="B12" s="3" t="inlineStr">
        <is>
          <t>Docent heeft alles nagekeken binnen een week nadat sprint is afgelopen</t>
        </is>
      </c>
      <c r="C12" s="3" t="n"/>
      <c r="D12" s="5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15" customHeight="1" s="84">
      <c r="B13" s="3" t="inlineStr">
        <is>
          <t>Beoordelingsniveaus: onder / op / boven</t>
        </is>
      </c>
      <c r="C13" s="3" t="n"/>
      <c r="D13" s="5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15" customHeight="1" s="84">
      <c r="B14" s="3" t="inlineStr">
        <is>
          <t>Bij "onder" niveau krijg je feedback via canvas (anders misschien ook wel, maar daar heb je geen recht op)</t>
        </is>
      </c>
      <c r="C14" s="3" t="n"/>
      <c r="D14" s="5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15" customHeight="1" s="84">
      <c r="B15" s="3" t="inlineStr">
        <is>
          <t>Theorietoetsen kan je niet herkansen</t>
        </is>
      </c>
      <c r="C15" s="3" t="n"/>
      <c r="D15" s="5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15" customHeight="1" s="84">
      <c r="B16" s="3" t="inlineStr">
        <is>
          <t>Eigen items, maximaal 3, sprintonafhankelijke, compenseren "onder niveaus", maar dat is ter beoordeling van het docententeam</t>
        </is>
      </c>
      <c r="C16" s="3" t="n"/>
      <c r="D16" s="5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15" customHeight="1" s="84">
      <c r="B17" s="3" t="n"/>
      <c r="C17" s="3" t="n"/>
      <c r="D17" s="5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15" customHeight="1" s="84">
      <c r="B18" s="3" t="n"/>
      <c r="C18" s="3" t="n"/>
      <c r="D18" s="5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15" customHeight="1" s="84">
      <c r="B19" s="3" t="n"/>
      <c r="C19" s="3" t="n"/>
      <c r="D19" s="5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15" customHeight="1" s="84">
      <c r="B20" s="3" t="n"/>
      <c r="C20" s="3" t="n"/>
      <c r="D20" s="5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2" ht="15" customHeight="1" s="84">
      <c r="B22" s="2" t="inlineStr">
        <is>
          <t xml:space="preserve">Grades: </t>
        </is>
      </c>
      <c r="D22" s="5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15" customHeight="1" s="84">
      <c r="B23" s="3" t="inlineStr">
        <is>
          <t>0 is niet gedaan</t>
        </is>
      </c>
      <c r="D23" s="5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15" customHeight="1" s="84">
      <c r="B24" s="3" t="inlineStr">
        <is>
          <t>1 is onder niveau</t>
        </is>
      </c>
      <c r="D24" s="5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15" customHeight="1" s="84">
      <c r="B25" s="3" t="inlineStr">
        <is>
          <t>2 is op niveau</t>
        </is>
      </c>
      <c r="D25" s="5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15" customHeight="1" s="84">
      <c r="B26" s="3" t="inlineStr">
        <is>
          <t>3 is boven niveau</t>
        </is>
      </c>
      <c r="D26" s="5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8" ht="15" customHeight="1" s="84">
      <c r="B28" s="2" t="inlineStr">
        <is>
          <t>Disclaimer:</t>
        </is>
      </c>
      <c r="D28" s="5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15" customHeight="1" s="84">
      <c r="B29" s="3" t="inlineStr">
        <is>
          <t>Als er verschil is tussen de resultaten in dit excelsheet en de scores in Canvas, dan gelden de scores in Canvas.</t>
        </is>
      </c>
      <c r="D29" s="5" t="n"/>
      <c r="E29" s="3" t="n"/>
      <c r="F29" s="3" t="n"/>
      <c r="G29" s="3" t="n"/>
      <c r="H29" s="3" t="n"/>
      <c r="I29" s="3" t="n"/>
      <c r="J29" s="3" t="n"/>
      <c r="K29" s="3" t="n"/>
      <c r="L2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Tineke Kleene</dc:creator>
  <dcterms:created xsi:type="dcterms:W3CDTF">2023-07-17T14:16:04Z</dcterms:created>
  <dcterms:modified xsi:type="dcterms:W3CDTF">2026-03-27T17:51:11Z</dcterms:modified>
  <cp:lastModifiedBy>Marco van den Boogaard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0x01010081A80706761E274FBF7207A6EEFD509E</vt:lpwstr>
  </property>
  <property name="MediaServiceImageTags" fmtid="{D5CDD505-2E9C-101B-9397-08002B2CF9AE}" pid="3">
    <vt:lpwstr/>
  </property>
</Properties>
</file>